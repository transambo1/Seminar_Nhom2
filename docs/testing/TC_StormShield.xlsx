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" sheetId="1" r:id="rId5"/>
    <sheet state="visible" name="Alert" sheetId="2" r:id="rId6"/>
    <sheet state="visible" name="Incident" sheetId="3" r:id="rId7"/>
    <sheet state="visible" name="Shelter" sheetId="4" r:id="rId8"/>
    <sheet state="visible" name="Support" sheetId="5" r:id="rId9"/>
    <sheet state="visible" name="Notification" sheetId="6" r:id="rId10"/>
    <sheet state="visible" name="UI" sheetId="7" r:id="rId11"/>
    <sheet state="visible" name="Gateway" sheetId="8" r:id="rId12"/>
  </sheets>
  <definedNames>
    <definedName name="ACTION">#REF!</definedName>
  </definedNames>
  <calcPr/>
</workbook>
</file>

<file path=xl/sharedStrings.xml><?xml version="1.0" encoding="utf-8"?>
<sst xmlns="http://schemas.openxmlformats.org/spreadsheetml/2006/main" count="902" uniqueCount="543">
  <si>
    <t>Module Code</t>
  </si>
  <si>
    <t>User</t>
  </si>
  <si>
    <t>Test requirement</t>
  </si>
  <si>
    <t>Verify Register, Login, Profile, and Address functions including:
- User registration validation (email, password, confirm password)
- Login validation (active user, wrong password, missing data)
- JWT token handling
- Profile view/update
- Address CRUD, set default, validation, and ActiveUser policy</t>
  </si>
  <si>
    <t>Tester</t>
  </si>
  <si>
    <t>Lê Thị Lan Anh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</si>
  <si>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</si>
  <si>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</si>
  <si>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</si>
  <si>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</si>
  <si>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</si>
  <si>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</si>
  <si>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</si>
  <si>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</si>
  <si>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</si>
  <si>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</si>
  <si>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</si>
  <si>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</si>
  <si>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TC-AUTH-01</t>
  </si>
  <si>
    <t>Đăng ký Citizen hợp lệ</t>
  </si>
  <si>
    <t>1) Gọi API /register với data hợp lệ</t>
  </si>
  <si>
    <t>Tạo account thành công, HTTP 200/201</t>
  </si>
  <si>
    <t>email: test@gmail.com, role: CITIZEN</t>
  </si>
  <si>
    <t>Happy path</t>
  </si>
  <si>
    <t>TC-AUTH-02</t>
  </si>
  <si>
    <t>Đăng ký thiếu email</t>
  </si>
  <si>
    <t>1) Gọi API /register không truyền email</t>
  </si>
  <si>
    <t>Báo lỗi validation, HTTP 400</t>
  </si>
  <si>
    <t>email: null</t>
  </si>
  <si>
    <t>Required field (EP)</t>
  </si>
  <si>
    <t>TC-AUTH-03</t>
  </si>
  <si>
    <t>Đăng ký sai định dạng email</t>
  </si>
  <si>
    <t>1) Gọi API /register với email sai định dạng</t>
  </si>
  <si>
    <t>Báo lỗi validation email, HTTP 400</t>
  </si>
  <si>
    <t>email: testgmail.com</t>
  </si>
  <si>
    <t>Validation (EP)</t>
  </si>
  <si>
    <t>TC-AUTH-04</t>
  </si>
  <si>
    <t>Đăng ký trùng email</t>
  </si>
  <si>
    <t>1) Gọi API /register email đã tồn tại</t>
  </si>
  <si>
    <t>Báo lỗi email exist, HTTP 409/400</t>
  </si>
  <si>
    <t>email: admin@stormshield.com</t>
  </si>
  <si>
    <t>Business rule (EP)</t>
  </si>
  <si>
    <t>TC-AUTH-05</t>
  </si>
  <si>
    <t>Đăng nhập hợp lệ (Citizen)</t>
  </si>
  <si>
    <t>1) Gọi API /login với Citizen</t>
  </si>
  <si>
    <t>Trả về JWT token, userId, role</t>
  </si>
  <si>
    <t>email: user, pass: user123</t>
  </si>
  <si>
    <t>TC-AUTH-06</t>
  </si>
  <si>
    <t>Đăng nhập hợp lệ (Admin)</t>
  </si>
  <si>
    <t>1) Gọi API /login với Admin</t>
  </si>
  <si>
    <t>Trả về JWT token, role ADMIN</t>
  </si>
  <si>
    <t>TC-AUTH-07</t>
  </si>
  <si>
    <t>Đăng nhập sai password</t>
  </si>
  <si>
    <t>1) Gọi API /login password sai</t>
  </si>
  <si>
    <t>HTTP 401 Unauthorized</t>
  </si>
  <si>
    <t>pass: wrong</t>
  </si>
  <si>
    <t>Error handling</t>
  </si>
  <si>
    <t>TC-AUTH-08</t>
  </si>
  <si>
    <t>Đăng nhập tài khoản không tồn tại</t>
  </si>
  <si>
    <t>1) Gọi API /login email không có</t>
  </si>
  <si>
    <t>HTTP 401/404</t>
  </si>
  <si>
    <t>email: notfound@...</t>
  </si>
  <si>
    <t>TC-AUTH-09</t>
  </si>
  <si>
    <t>Truy cập /me không có token</t>
  </si>
  <si>
    <t>1) Gọi API /me không gắn Authorization</t>
  </si>
  <si>
    <t>Header missing</t>
  </si>
  <si>
    <t>Security/JWT</t>
  </si>
  <si>
    <t>TC-AUTH-10</t>
  </si>
  <si>
    <t>Truy cập /me có token hợp lệ</t>
  </si>
  <si>
    <t>1) Gọi API /me kèm JWT</t>
  </si>
  <si>
    <t>Trả về thông tin User profile</t>
  </si>
  <si>
    <t>Valid Token</t>
  </si>
  <si>
    <t>TC-AUTH-11</t>
  </si>
  <si>
    <t>Token hết hạn</t>
  </si>
  <si>
    <t>1) Gọi API với token expired</t>
  </si>
  <si>
    <t>HTTP 401</t>
  </si>
  <si>
    <t>Expired Token</t>
  </si>
  <si>
    <t>TC-AUTH-12</t>
  </si>
  <si>
    <t>Admin tạo tài khoản Rescue</t>
  </si>
  <si>
    <t>1) Gọi /admin/rescue-accounts</t>
  </si>
  <si>
    <t>Tạo thành công, HTTP 200</t>
  </si>
  <si>
    <t>Role: RESCUE</t>
  </si>
  <si>
    <t>Role-based access</t>
  </si>
  <si>
    <t>TC-AUTH-13</t>
  </si>
  <si>
    <t>Citizen tạo tài khoản Rescue</t>
  </si>
  <si>
    <t>1) Gọi /admin/rescue-accounts bằng JWT Citizen</t>
  </si>
  <si>
    <t>HTTP 403 Forbidden</t>
  </si>
  <si>
    <t>Token: Citizen</t>
  </si>
  <si>
    <t>TC-AUTH-14</t>
  </si>
  <si>
    <t>Admin tạo tài khoản Admin</t>
  </si>
  <si>
    <t>1) Gọi /admin/admin-accounts</t>
  </si>
  <si>
    <t>Tạo thành công</t>
  </si>
  <si>
    <t>Role: ADMIN</t>
  </si>
  <si>
    <t>TC-AUTH-15</t>
  </si>
  <si>
    <t>Leader thêm Rescue members</t>
  </si>
  <si>
    <t>1) Gọi /leader/rescue-members</t>
  </si>
  <si>
    <t>Thêm member thành công</t>
  </si>
  <si>
    <t>Role: RESCUE_LEADER</t>
  </si>
  <si>
    <t>TC-AUTH-16</t>
  </si>
  <si>
    <t>Rescue (thường) thêm member</t>
  </si>
  <si>
    <t>1) Gọi /leader/rescue-members bằng JWT Rescue</t>
  </si>
  <si>
    <t>Token: Rescue</t>
  </si>
  <si>
    <t>TC-AUTH-17</t>
  </si>
  <si>
    <t>Frontend: Lưu SecureStore sau login</t>
  </si>
  <si>
    <t>1) Đăng nhập thành công trên App</t>
  </si>
  <si>
    <t>App lưu userToken, userId, userRole</t>
  </si>
  <si>
    <t>UI Login</t>
  </si>
  <si>
    <t>UI behavior</t>
  </si>
  <si>
    <t>TC-AUTH-18</t>
  </si>
  <si>
    <t>Frontend: Xóa SecureStore khi logout</t>
  </si>
  <si>
    <t>1) Click Đăng xuất</t>
  </si>
  <si>
    <t>Clear token, redirect về /login</t>
  </si>
  <si>
    <t>UI Logout</t>
  </si>
  <si>
    <t>TC-AUTH-19</t>
  </si>
  <si>
    <t>Lấy user info by ID</t>
  </si>
  <si>
    <t>1) Gọi /users/{id}</t>
  </si>
  <si>
    <t>Trả về thông tin user</t>
  </si>
  <si>
    <t>id: 1</t>
  </si>
  <si>
    <t>TC-AUTH-20</t>
  </si>
  <si>
    <t>Lấy user info by ID không tồn tại</t>
  </si>
  <si>
    <t>1) Gọi /users/9999</t>
  </si>
  <si>
    <t>HTTP 404 Not Found</t>
  </si>
  <si>
    <t>id: 9999</t>
  </si>
  <si>
    <t>TC-ALERT-01</t>
  </si>
  <si>
    <t>Lấy danh sách active alerts</t>
  </si>
  <si>
    <t>1) Gọi /api/v1/alerts/active</t>
  </si>
  <si>
    <t>Trả về mảng Alert có status ACTIVE</t>
  </si>
  <si>
    <t>TC-ALERT-02</t>
  </si>
  <si>
    <t>Lấy alert detail</t>
  </si>
  <si>
    <t>1) Gọi /api/v1/alerts/{id}</t>
  </si>
  <si>
    <t>Trả về chi tiết alert</t>
  </si>
  <si>
    <t>id: valid</t>
  </si>
  <si>
    <t>TC-ALERT-03</t>
  </si>
  <si>
    <t>Admin tạo alert mới</t>
  </si>
  <si>
    <t>1) POST /alerts với data hợp lệ</t>
  </si>
  <si>
    <t>Tạo thành công, HTTP 201</t>
  </si>
  <si>
    <t>type: STORM</t>
  </si>
  <si>
    <t>TC-ALERT-04</t>
  </si>
  <si>
    <t>Citizen tạo alert</t>
  </si>
  <si>
    <t>1) POST /alerts dùng token Citizen</t>
  </si>
  <si>
    <t>TC-ALERT-05</t>
  </si>
  <si>
    <t>Tạo alert thiếu tọa độ</t>
  </si>
  <si>
    <t>1) POST /alerts thiếu lat/long</t>
  </si>
  <si>
    <t>Báo lỗi validation</t>
  </si>
  <si>
    <t>lat: null</t>
  </si>
  <si>
    <t>TC-ALERT-06</t>
  </si>
  <si>
    <t>Admin update alert status</t>
  </si>
  <si>
    <t>1) PATCH /alerts/{id}/status</t>
  </si>
  <si>
    <t>Cập nhật thành công EXPIRED</t>
  </si>
  <si>
    <t>status: EXPIRED</t>
  </si>
  <si>
    <t>TC-ALERT-07</t>
  </si>
  <si>
    <t>Quét sự kiện OWM/USGS</t>
  </si>
  <si>
    <t>1) POST /scan/full</t>
  </si>
  <si>
    <t>Trigger scan, lưu DB</t>
  </si>
  <si>
    <t>Integration test</t>
  </si>
  <si>
    <t>TC-ALERT-08</t>
  </si>
  <si>
    <t>Frontend: Gọi fetchInternalAlerts</t>
  </si>
  <si>
    <t>1) Mở map</t>
  </si>
  <si>
    <t>Lấy data từ API hiển thị lên mảng marker</t>
  </si>
  <si>
    <t>UI Map</t>
  </si>
  <si>
    <t>API mapping</t>
  </si>
  <si>
    <t>TC-ALERT-09</t>
  </si>
  <si>
    <t>Frontend: Fallback marker icon</t>
  </si>
  <si>
    <t>1) Alert type lạ</t>
  </si>
  <si>
    <t>Render icon OTHER mặc định</t>
  </si>
  <si>
    <t>type: UNKNOWN</t>
  </si>
  <si>
    <t>TC-ALERT-10</t>
  </si>
  <si>
    <t>Xóa alert (Admin)</t>
  </si>
  <si>
    <t>1) DELETE /alerts/{id}</t>
  </si>
  <si>
    <t>Xóa thành công</t>
  </si>
  <si>
    <t>TC-ALERT-11</t>
  </si>
  <si>
    <t>Lấy alert sai ID format</t>
  </si>
  <si>
    <t>1) GET /alerts/abc</t>
  </si>
  <si>
    <t>HTTP 400 Bad Request</t>
  </si>
  <si>
    <t>id: abc</t>
  </si>
  <si>
    <t>TC-ALERT-12</t>
  </si>
  <si>
    <t>Cập nhật status sang CANCELLED</t>
  </si>
  <si>
    <t>1) PATCH status</t>
  </si>
  <si>
    <t>Cập nhật db</t>
  </si>
  <si>
    <t>status: CANCELLED</t>
  </si>
  <si>
    <t>TC-ALERT-13</t>
  </si>
  <si>
    <t>Lấy alert đã hết hạn</t>
  </si>
  <si>
    <t>1) Có api lọc expired không?</t>
  </si>
  <si>
    <t>Không thấy rõ, giả định lấy list all</t>
  </si>
  <si>
    <t>TC-ALERT-14</t>
  </si>
  <si>
    <t>Validate Severity Level</t>
  </si>
  <si>
    <t>1) POST alert với severity sai</t>
  </si>
  <si>
    <t>Lỗi enum deserialization</t>
  </si>
  <si>
    <t>severity: ABC</t>
  </si>
  <si>
    <t>TC-ALERT-15</t>
  </si>
  <si>
    <t>Tạo alert vượt boundary</t>
  </si>
  <si>
    <t>1) lat &gt; 90</t>
  </si>
  <si>
    <t>Lỗi validation tọa độ</t>
  </si>
  <si>
    <t>lat: 100</t>
  </si>
  <si>
    <t>Boundary value</t>
  </si>
  <si>
    <t>TC-INCIDENT-01</t>
  </si>
  <si>
    <t>Citizen gửi báo cáo hiện trường</t>
  </si>
  <si>
    <t>1) POST /incident-reports</t>
  </si>
  <si>
    <t>Tạo báo cáo, status PENDING</t>
  </si>
  <si>
    <t>type: FLOOD</t>
  </si>
  <si>
    <t>TC-INCIDENT-02</t>
  </si>
  <si>
    <t>Gửi báo cáo thiếu mô tả</t>
  </si>
  <si>
    <t>1) POST thiếu description</t>
  </si>
  <si>
    <t>Báo lỗi Required</t>
  </si>
  <si>
    <t>desc: null</t>
  </si>
  <si>
    <t>TC-INCIDENT-03</t>
  </si>
  <si>
    <t>Admin lấy danh sách PENDING</t>
  </si>
  <si>
    <t>1) GET /incident-reports</t>
  </si>
  <si>
    <t>Trả về mảng báo cáo chưa duyệt</t>
  </si>
  <si>
    <t>TC-INCIDENT-04</t>
  </si>
  <si>
    <t>Admin duyệt báo cáo (Approve)</t>
  </si>
  <si>
    <t>1) Gửi action duyệt</t>
  </si>
  <si>
    <t>Báo cáo thành APPROVED, tự sinh Alert</t>
  </si>
  <si>
    <t>status: APPROVED</t>
  </si>
  <si>
    <t>TC-INCIDENT-05</t>
  </si>
  <si>
    <t>Admin từ chối báo cáo (Reject)</t>
  </si>
  <si>
    <t>1) Gửi action từ chối</t>
  </si>
  <si>
    <t>Báo cáo thành REJECTED, ko sinh Alert</t>
  </si>
  <si>
    <t>status: REJECTED</t>
  </si>
  <si>
    <t>TC-INCIDENT-06</t>
  </si>
  <si>
    <t>Citizen duyệt báo cáo</t>
  </si>
  <si>
    <t>1) Cố gọi API duyệt bằng JWT Citizen</t>
  </si>
  <si>
    <t>HTTP 403</t>
  </si>
  <si>
    <t>TC-INCIDENT-07</t>
  </si>
  <si>
    <t>Frontend: Gửi report từ UI</t>
  </si>
  <si>
    <t>1) Điền form Report, click Submit</t>
  </si>
  <si>
    <t>Gọi đúng API, hiện Alert Success</t>
  </si>
  <si>
    <t>UI Form</t>
  </si>
  <si>
    <t>TC-INCIDENT-08</t>
  </si>
  <si>
    <t>Frontend: Chưa cấp quyền vị trí</t>
  </si>
  <si>
    <t>1) Bấm tạo report ko có GPS</t>
  </si>
  <si>
    <t>Hiện cảnh báo xin quyền</t>
  </si>
  <si>
    <t>GPS: off</t>
  </si>
  <si>
    <t>TC-INCIDENT-09</t>
  </si>
  <si>
    <t>Cập nhật status báo cáo ko tồn tại</t>
  </si>
  <si>
    <t>1) Duyệt ID 9999</t>
  </si>
  <si>
    <t>HTTP 404</t>
  </si>
  <si>
    <t>TC-INCIDENT-10</t>
  </si>
  <si>
    <t>Duyệt báo cáo đã APPROVED</t>
  </si>
  <si>
    <t>1) Cố duyệt lại</t>
  </si>
  <si>
    <t>Báo lỗi Invalid status / or success depend on rule</t>
  </si>
  <si>
    <t>TC-INCIDENT-11</t>
  </si>
  <si>
    <t>Tạo báo cáo với image URL rỗng</t>
  </si>
  <si>
    <t>1) Truyền imageUrl rỗng</t>
  </si>
  <si>
    <t>Chấp nhận vì không bắt buộc</t>
  </si>
  <si>
    <t>image: null</t>
  </si>
  <si>
    <t>TC-INCIDENT-12</t>
  </si>
  <si>
    <t>Tạo báo cáo sai type Enum</t>
  </si>
  <si>
    <t>1) type sai</t>
  </si>
  <si>
    <t>HTTP 400</t>
  </si>
  <si>
    <t>type: ALIEN</t>
  </si>
  <si>
    <t>TC-INCIDENT-13</t>
  </si>
  <si>
    <t>Notification khi APPROVED</t>
  </si>
  <si>
    <t>1) Báo cáo được duyệt</t>
  </si>
  <si>
    <t>Bắn notif INCIDENT_REPORT_APPROVED</t>
  </si>
  <si>
    <t>Async notification</t>
  </si>
  <si>
    <t>TC-INCIDENT-14</t>
  </si>
  <si>
    <t>Notification khi REJECTED</t>
  </si>
  <si>
    <t>1) Báo cáo bị từ chối</t>
  </si>
  <si>
    <t>Bắn notif INCIDENT_REPORT_REJECTED</t>
  </si>
  <si>
    <t>TC-INCIDENT-15</t>
  </si>
  <si>
    <t>Citizen lấy danh sách báo cáo của mình</t>
  </si>
  <si>
    <t>1) GET /my-reports</t>
  </si>
  <si>
    <t>Trả về list</t>
  </si>
  <si>
    <t>TC-SHELTER-01</t>
  </si>
  <si>
    <t>Lấy tất cả shelter</t>
  </si>
  <si>
    <t>1) GET /shelters</t>
  </si>
  <si>
    <t>Trả về mảng Shelter</t>
  </si>
  <si>
    <t>TC-SHELTER-02</t>
  </si>
  <si>
    <t>Lấy shelter theo trạng thái</t>
  </si>
  <si>
    <t>1) GET /shelters?status=AVAILABLE</t>
  </si>
  <si>
    <t>Trả về list AVAILABLE</t>
  </si>
  <si>
    <t>status: AVAILABLE</t>
  </si>
  <si>
    <t>TC-SHELTER-03</t>
  </si>
  <si>
    <t>Admin tạo shelter</t>
  </si>
  <si>
    <t>1) POST /shelters</t>
  </si>
  <si>
    <t>Tạo thành công, status ACTIVE</t>
  </si>
  <si>
    <t>capacity: 100</t>
  </si>
  <si>
    <t>TC-SHELTER-04</t>
  </si>
  <si>
    <t>Tạo shelter capacity âm</t>
  </si>
  <si>
    <t>1) POST capacity = -5</t>
  </si>
  <si>
    <t>Lỗi validation</t>
  </si>
  <si>
    <t>capacity: -5</t>
  </si>
  <si>
    <t>TC-SHELTER-05</t>
  </si>
  <si>
    <t>Cập nhật occupancy</t>
  </si>
  <si>
    <t>1) PATCH /shelters/{id}/occupancy</t>
  </si>
  <si>
    <t>Số người ở tăng lên</t>
  </si>
  <si>
    <t>occupancy: 10</t>
  </si>
  <si>
    <t>TC-SHELTER-06</t>
  </si>
  <si>
    <t>Cập nhật occupancy quá capacity</t>
  </si>
  <si>
    <t>1) PATCH occupancy &gt; maxCapacity</t>
  </si>
  <si>
    <t>Lỗi / hoặc đổi status sang FULL</t>
  </si>
  <si>
    <t>occupancy: 200</t>
  </si>
  <si>
    <t>TC-SHELTER-07</t>
  </si>
  <si>
    <t>Lấy shelter gần đây</t>
  </si>
  <si>
    <t>1) GET /shelters/nearby?lat=...&amp;lng=...</t>
  </si>
  <si>
    <t>Trả về danh sách sắp xếp theo KC</t>
  </si>
  <si>
    <t>lat, lng</t>
  </si>
  <si>
    <t>TC-SHELTER-08</t>
  </si>
  <si>
    <t>Lấy detail shelter</t>
  </si>
  <si>
    <t>1) GET /shelters/{id}</t>
  </si>
  <si>
    <t>Trả về 1 record</t>
  </si>
  <si>
    <t>TC-SHELTER-09</t>
  </si>
  <si>
    <t>Cập nhật thông tin shelter (Admin)</t>
  </si>
  <si>
    <t>1) PUT /shelters/{id}</t>
  </si>
  <si>
    <t>Đổi tên, địa chỉ</t>
  </si>
  <si>
    <t>TC-SHELTER-10</t>
  </si>
  <si>
    <t>Frontend: Render Marker Shelter</t>
  </si>
  <si>
    <t>Hiển thị marker nhà trú ẩn màu xanh</t>
  </si>
  <si>
    <t>TC-SHELTER-11</t>
  </si>
  <si>
    <t>Frontend: Click Shelter Info</t>
  </si>
  <si>
    <t>1) Bấm vào Marker</t>
  </si>
  <si>
    <t>Hiện Panel số lượng chứa</t>
  </si>
  <si>
    <t>TC-SHELTER-12</t>
  </si>
  <si>
    <t>Shelter FULL</t>
  </si>
  <si>
    <t>1) GET shelters</t>
  </si>
  <si>
    <t>Shelter FULL hiển thị màu đỏ/khác biệt</t>
  </si>
  <si>
    <t>TC-SUPPORT-01</t>
  </si>
  <si>
    <t>Citizen tạo rescue request</t>
  </si>
  <si>
    <t>1) POST /support-requests</t>
  </si>
  <si>
    <t>Trạng thái PENDING</t>
  </si>
  <si>
    <t>type: MEDICAL</t>
  </si>
  <si>
    <t>TC-SUPPORT-02</t>
  </si>
  <si>
    <t>Tạo request sai type</t>
  </si>
  <si>
    <t>1) POST sai RequestType</t>
  </si>
  <si>
    <t>type: XXX</t>
  </si>
  <si>
    <t>TC-SUPPORT-03</t>
  </si>
  <si>
    <t>Xem danh sách request (Rescue)</t>
  </si>
  <si>
    <t>1) GET /support-requests</t>
  </si>
  <si>
    <t>Lấy list PENDING</t>
  </si>
  <si>
    <t>TC-SUPPORT-04</t>
  </si>
  <si>
    <t>Xem request theo team</t>
  </si>
  <si>
    <t>1) GET /support-requests/team/{id}</t>
  </si>
  <si>
    <t>Trả về request đã assign</t>
  </si>
  <si>
    <t>teamId: 1</t>
  </si>
  <si>
    <t>TC-SUPPORT-05</t>
  </si>
  <si>
    <t>Lấy request của tôi (Rescue)</t>
  </si>
  <si>
    <t>1) GET /support-requests/my</t>
  </si>
  <si>
    <t>Trả về request user đó nhận</t>
  </si>
  <si>
    <t>header X-User-Id</t>
  </si>
  <si>
    <t>TC-SUPPORT-06</t>
  </si>
  <si>
    <t>Auto Assign</t>
  </si>
  <si>
    <t>1) POST /support-requests/{id}/auto-assign</t>
  </si>
  <si>
    <t>Thuật toán tìm team, đổi status ASSIGNED</t>
  </si>
  <si>
    <t>TC-SUPPORT-07</t>
  </si>
  <si>
    <t>Thủ công Assign</t>
  </si>
  <si>
    <t>1) PATCH /{id}/assign</t>
  </si>
  <si>
    <t>Đổi status ASSIGNED, map với Team</t>
  </si>
  <si>
    <t>teamId: valid</t>
  </si>
  <si>
    <t>TC-SUPPORT-08</t>
  </si>
  <si>
    <t>Cập nhật status IN_PROGRESS</t>
  </si>
  <si>
    <t>1) PATCH /{id}/status</t>
  </si>
  <si>
    <t>Trạng thái đổi</t>
  </si>
  <si>
    <t>status: IN_PROGRESS</t>
  </si>
  <si>
    <t>TC-SUPPORT-09</t>
  </si>
  <si>
    <t>Cập nhật status sai luồng</t>
  </si>
  <si>
    <t>1) PENDING nhảy thẳng RESOLVED</t>
  </si>
  <si>
    <t>Lỗi luồng (hoặc success tùy logic code)</t>
  </si>
  <si>
    <t>status: RESOLVED</t>
  </si>
  <si>
    <t>TC-SUPPORT-10</t>
  </si>
  <si>
    <t>Tạo Team cứu hộ mới (Admin)</t>
  </si>
  <si>
    <t>1) POST /rescue-teams</t>
  </si>
  <si>
    <t>Tạo Team OK</t>
  </si>
  <si>
    <t>LeaderId: 2</t>
  </si>
  <si>
    <t>TC-SUPPORT-11</t>
  </si>
  <si>
    <t>Thêm member vào team</t>
  </si>
  <si>
    <t>1) POST /rescue-teams/{id}/members</t>
  </si>
  <si>
    <t>Thêm member OK</t>
  </si>
  <si>
    <t>userId: 3</t>
  </si>
  <si>
    <t>TC-SUPPORT-12</t>
  </si>
  <si>
    <t>Lấy member của team</t>
  </si>
  <si>
    <t>1) GET /rescue-teams/{id}/members</t>
  </si>
  <si>
    <t>List members</t>
  </si>
  <si>
    <t>TC-SUPPORT-13</t>
  </si>
  <si>
    <t>Xóa member khỏi team</t>
  </si>
  <si>
    <t>1) DELETE /{id}/members/{uid}</t>
  </si>
  <si>
    <t>uid: 3</t>
  </si>
  <si>
    <t>TC-SUPPORT-14</t>
  </si>
  <si>
    <t>Lấy Team by LeaderId</t>
  </si>
  <si>
    <t>1) GET /rescue-teams/leader/{id}</t>
  </si>
  <si>
    <t>Trả về team</t>
  </si>
  <si>
    <t>leaderId: 2</t>
  </si>
  <si>
    <t>TC-SUPPORT-15</t>
  </si>
  <si>
    <t>Frontend: Màn RescueHome gọi getPendingRequests</t>
  </si>
  <si>
    <t>1) Mở tab Nhiệm vụ</t>
  </si>
  <si>
    <t>Hiển thị list chờ</t>
  </si>
  <si>
    <t>UI Rescue</t>
  </si>
  <si>
    <t>TC-SUPPORT-16</t>
  </si>
  <si>
    <t>Frontend: getMyMissions gọi API my</t>
  </si>
  <si>
    <t>1) Load tab</t>
  </si>
  <si>
    <t>Gọi API đúng header X-User-Id</t>
  </si>
  <si>
    <t>userId lưu trong store</t>
  </si>
  <si>
    <t>TC-SUPPORT-17</t>
  </si>
  <si>
    <t>Frontend: Ấn Tiếp nhận nhiệm vụ</t>
  </si>
  <si>
    <t>1) Bấm button</t>
  </si>
  <si>
    <t>Alert thông báo, chưa gọi thật updateStatus trong list</t>
  </si>
  <si>
    <t>UI</t>
  </si>
  <si>
    <t>UI behavior (Chưa nối API)</t>
  </si>
  <si>
    <t>TC-SUPPORT-18</t>
  </si>
  <si>
    <t>Frontend: Gọi hàm getMissionsByRescueId lỗi</t>
  </si>
  <si>
    <t>1) Vào màn Rescue Map</t>
  </si>
  <si>
    <t>Lỗi TypeError vì hàm ko tồn tại, nhưng có try/catch</t>
  </si>
  <si>
    <t>API mapping (Thiếu function)</t>
  </si>
  <si>
    <t>TC-SUPPORT-19</t>
  </si>
  <si>
    <t>Frontend: Gọi hàm getTeamMembers lỗi</t>
  </si>
  <si>
    <t>1) Vào màn Rescue Team</t>
  </si>
  <si>
    <t>Lỗi TypeError, fallback về mockup data</t>
  </si>
  <si>
    <t>UI Team</t>
  </si>
  <si>
    <t>TC-SUPPORT-20</t>
  </si>
  <si>
    <t>Frontend: Cập nhật status IN_PROGRESS</t>
  </si>
  <si>
    <t>1) Ở màn Rescue Map bấm 'Bắt đầu nhiệm vụ'</t>
  </si>
  <si>
    <t>Gọi updateStatus API</t>
  </si>
  <si>
    <t>activeMission</t>
  </si>
  <si>
    <t>TC-NOTI-01</t>
  </si>
  <si>
    <t>Kết nối SSE Stream</t>
  </si>
  <si>
    <t>1) GET /notifications/stream?userId=x</t>
  </si>
  <si>
    <t>SSE kết nối thành công, giữ connection</t>
  </si>
  <si>
    <t>userId: 1</t>
  </si>
  <si>
    <t>TC-NOTI-02</t>
  </si>
  <si>
    <t>Lấy danh sách Notification của tôi</t>
  </si>
  <si>
    <t>1) GET /notifications/my</t>
  </si>
  <si>
    <t>Trả về list sort theo time</t>
  </si>
  <si>
    <t>TC-NOTI-03</t>
  </si>
  <si>
    <t>Lấy số lượng Unread</t>
  </si>
  <si>
    <t>1) GET /unread-count</t>
  </si>
  <si>
    <t>Trả về int số lượng</t>
  </si>
  <si>
    <t>TC-NOTI-04</t>
  </si>
  <si>
    <t>Mark as Read</t>
  </si>
  <si>
    <t>1) PATCH /{id}/read</t>
  </si>
  <si>
    <t>Status = READ</t>
  </si>
  <si>
    <t>TC-NOTI-05</t>
  </si>
  <si>
    <t>Mark All as Read</t>
  </si>
  <si>
    <t>1) PATCH /read-all</t>
  </si>
  <si>
    <t>Tất cả thành READ</t>
  </si>
  <si>
    <t>TC-NOTI-06</t>
  </si>
  <si>
    <t>Hệ thống tự bắn Notif (Nearby)</t>
  </si>
  <si>
    <t>1) Tạo alert mới</t>
  </si>
  <si>
    <t>Notif bắn qua SSE tới user gần đó</t>
  </si>
  <si>
    <t>TC-NOTI-07</t>
  </si>
  <si>
    <t>Hệ thống tự bắn Notif (Support)</t>
  </si>
  <si>
    <t>1) Assign request</t>
  </si>
  <si>
    <t>User liên quan nhận đc SSE</t>
  </si>
  <si>
    <t>TC-NOTI-08</t>
  </si>
  <si>
    <t>Frontend: Nhận SSE realtime</t>
  </si>
  <si>
    <t>1) Có event mới</t>
  </si>
  <si>
    <t>UI tự popup Notification</t>
  </si>
  <si>
    <t>Event: NEW_ALERT</t>
  </si>
  <si>
    <t>TC-NOTI-09</t>
  </si>
  <si>
    <t>Frontend: Crash do userId fallback</t>
  </si>
  <si>
    <t>1) Mở inbox khi chưa login, SecureStore rỗng</t>
  </si>
  <si>
    <t>JSON parse null -&gt; crash</t>
  </si>
  <si>
    <t>profileStr: null</t>
  </si>
  <si>
    <t>Error handling (UI)</t>
  </si>
  <si>
    <t>TC-NOTI-10</t>
  </si>
  <si>
    <t>Xóa Notification</t>
  </si>
  <si>
    <t>1) DELETE /{id}</t>
  </si>
  <si>
    <t>Xóa DB</t>
  </si>
  <si>
    <t>TC-UI-01</t>
  </si>
  <si>
    <t>Render Map Citizen</t>
  </si>
  <si>
    <t>1) Xem map</t>
  </si>
  <si>
    <t>Render đúng Google Map / Leaflet</t>
  </si>
  <si>
    <t>TC-UI-02</t>
  </si>
  <si>
    <t>Map Polyline Rescue</t>
  </si>
  <si>
    <t>1) Ca đang chạy</t>
  </si>
  <si>
    <t>Vẽ polyline đứt đoạn từ vị trí mình đến đích</t>
  </si>
  <si>
    <t>RescueMap</t>
  </si>
  <si>
    <t>TC-UI-03</t>
  </si>
  <si>
    <t>Điều hướng bằng userRole</t>
  </si>
  <si>
    <t>1) Layout gọi userRole?.includes</t>
  </si>
  <si>
    <t>Admin hiện tab RescueHome, tắt Dashboard</t>
  </si>
  <si>
    <t>TC-UI-04</t>
  </si>
  <si>
    <t>Dynamic tab fallback</t>
  </si>
  <si>
    <t>1) userRole = null</t>
  </si>
  <si>
    <t>IsLoading block, ko crash</t>
  </si>
  <si>
    <t>Null role</t>
  </si>
  <si>
    <t>TC-UI-05</t>
  </si>
  <si>
    <t>Lọc Severity Bento box</t>
  </si>
  <si>
    <t>1) Click Critical</t>
  </si>
  <si>
    <t>List feed cập nhật đúng</t>
  </si>
  <si>
    <t>Filter: Critical</t>
  </si>
  <si>
    <t>TC-UI-06</t>
  </si>
  <si>
    <t>Pin alert trên danh sách</t>
  </si>
  <si>
    <t>1) Click nút Pin</t>
  </si>
  <si>
    <t>Alert nhảy lên đầu list</t>
  </si>
  <si>
    <t>Alert card</t>
  </si>
  <si>
    <t>TC-UI-07</t>
  </si>
  <si>
    <t>Location fallback ở coordStr</t>
  </si>
  <si>
    <t>1) Toạ độ null</t>
  </si>
  <si>
    <t>Nếu latitude undefined -&gt; NaN -&gt; render lỗi text</t>
  </si>
  <si>
    <t>coord: undefined</t>
  </si>
  <si>
    <t>TC-UI-08</t>
  </si>
  <si>
    <t>Đóng Modal Report</t>
  </si>
  <si>
    <t>1) Kéo xuống hoặc bấm ngoài</t>
  </si>
  <si>
    <t>Đóng modal an toàn</t>
  </si>
  <si>
    <t>Modal</t>
  </si>
  <si>
    <t>TC-UI-09</t>
  </si>
  <si>
    <t>Hiển thị Badge Inbox</t>
  </si>
  <si>
    <t>1) Có 3 thông báo UNREAD</t>
  </si>
  <si>
    <t>Tab badge hiện số 3</t>
  </si>
  <si>
    <t>Unread: 3</t>
  </si>
  <si>
    <t>TC-UI-10</t>
  </si>
  <si>
    <t>Hiển thị icon theo NotificationType</t>
  </si>
  <si>
    <t>1) Type: NEARBY_ALERT</t>
  </si>
  <si>
    <t>Render icon màu đỏ</t>
  </si>
  <si>
    <t>NEARBY_ALERT</t>
  </si>
  <si>
    <t>TC-GATEWAY-01</t>
  </si>
  <si>
    <t>Định tuyến /api/v1/auth</t>
  </si>
  <si>
    <t>1) Gateway gọi auth</t>
  </si>
  <si>
    <t>Trỏ đúng port auth-service</t>
  </si>
  <si>
    <t>Gateway route</t>
  </si>
  <si>
    <t>TC-GATEWAY-02</t>
  </si>
  <si>
    <t>Định tuyến /api/v1/alerts</t>
  </si>
  <si>
    <t>1) Gateway gọi alert</t>
  </si>
  <si>
    <t>Trỏ đúng port alert-service</t>
  </si>
  <si>
    <t>TC-GATEWAY-03</t>
  </si>
  <si>
    <t>CORS Configuration</t>
  </si>
  <si>
    <t>1) Gửi preflight request</t>
  </si>
  <si>
    <t>Trả về 200 OK allowed origins</t>
  </si>
  <si>
    <t>OPTIONS</t>
  </si>
  <si>
    <t>TC-GATEWAY-04</t>
  </si>
  <si>
    <t>Eureka Service Registration</t>
  </si>
  <si>
    <t>1) Khởi động docker-compose</t>
  </si>
  <si>
    <t>6 services lên Eureka</t>
  </si>
  <si>
    <t>Docker</t>
  </si>
  <si>
    <t>TC-GATEWAY-05</t>
  </si>
  <si>
    <t>Load Balancing Gateway</t>
  </si>
  <si>
    <t>1) Có nhiều instance auth</t>
  </si>
  <si>
    <t>Gateway phân tải (lb://)</t>
  </si>
  <si>
    <t>Multiple instance</t>
  </si>
  <si>
    <t>TC-GATEWAY-06</t>
  </si>
  <si>
    <t>RabbitMQ Publish</t>
  </si>
  <si>
    <t>1) Tạo alert</t>
  </si>
  <si>
    <t>Đẩy message vào Queue</t>
  </si>
  <si>
    <t>RabbitMQ</t>
  </si>
  <si>
    <t>TC-GATEWAY-07</t>
  </si>
  <si>
    <t>RabbitMQ Consume</t>
  </si>
  <si>
    <t>1) notification-service consume</t>
  </si>
  <si>
    <t>Tạo record Notification DB</t>
  </si>
  <si>
    <t>TC-GATEWAY-08</t>
  </si>
  <si>
    <t>DB Isolation</t>
  </si>
  <si>
    <t>1) Check Data source</t>
  </si>
  <si>
    <t>Mỗi service có URL DB riêng</t>
  </si>
  <si>
    <t>application.yml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</si>
</sst>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MS PGothic"/>
      <scheme val="minor"/>
    </font>
    <font>
      <b/>
      <sz val="12.0"/>
      <color theme="1"/>
      <name val="Times"/>
    </font>
    <font>
      <sz val="10.0"/>
      <color rgb="FF008000"/>
      <name val="Times"/>
    </font>
    <font/>
    <font>
      <sz val="12.0"/>
      <color theme="1"/>
      <name val="Tahoma"/>
    </font>
    <font>
      <b/>
      <sz val="12.0"/>
      <color rgb="FF000000"/>
      <name val="Times"/>
    </font>
    <font>
      <sz val="12.0"/>
      <color rgb="FF000000"/>
      <name val="Times"/>
    </font>
    <font>
      <sz val="12.0"/>
      <color rgb="FF000000"/>
      <name val="Tahoma"/>
    </font>
    <font>
      <b/>
      <sz val="12.0"/>
      <color rgb="FFFFFFFF"/>
      <name val="Times"/>
    </font>
    <font>
      <sz val="12.0"/>
      <color theme="1"/>
      <name val="Time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COUNTIF(F8:F879,"Pass")</f>
        <v>19</v>
      </c>
      <c r="B5" s="10">
        <f>COUNTIF(F8:F879,"Fail")</f>
        <v>0</v>
      </c>
      <c r="C5" s="10">
        <f>E5-D5-B5-A5</f>
        <v>1</v>
      </c>
      <c r="D5" s="10">
        <f>COUNTIF(F$8:F$879,"N/A")</f>
        <v>0</v>
      </c>
      <c r="E5" s="11">
        <f>COUNTA(A8:A93)
</f>
        <v>20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18</v>
      </c>
      <c r="B8" s="16" t="s">
        <v>19</v>
      </c>
      <c r="C8" s="16" t="s">
        <v>20</v>
      </c>
      <c r="D8" s="16" t="s">
        <v>21</v>
      </c>
      <c r="E8" s="17" t="s">
        <v>22</v>
      </c>
      <c r="F8" s="16" t="s">
        <v>6</v>
      </c>
      <c r="G8" s="18"/>
      <c r="H8" s="16" t="s">
        <v>23</v>
      </c>
    </row>
    <row r="9">
      <c r="A9" s="16" t="s">
        <v>24</v>
      </c>
      <c r="B9" s="16" t="s">
        <v>25</v>
      </c>
      <c r="C9" s="16" t="s">
        <v>26</v>
      </c>
      <c r="D9" s="16" t="s">
        <v>27</v>
      </c>
      <c r="E9" s="17" t="s">
        <v>28</v>
      </c>
      <c r="F9" s="16" t="s">
        <v>6</v>
      </c>
      <c r="G9" s="18"/>
      <c r="H9" s="16" t="s">
        <v>29</v>
      </c>
    </row>
    <row r="10">
      <c r="A10" s="16" t="s">
        <v>30</v>
      </c>
      <c r="B10" s="16" t="s">
        <v>31</v>
      </c>
      <c r="C10" s="16" t="s">
        <v>32</v>
      </c>
      <c r="D10" s="16" t="s">
        <v>33</v>
      </c>
      <c r="E10" s="17" t="s">
        <v>34</v>
      </c>
      <c r="F10" s="16" t="s">
        <v>6</v>
      </c>
      <c r="G10" s="18"/>
      <c r="H10" s="16" t="s">
        <v>35</v>
      </c>
    </row>
    <row r="11">
      <c r="A11" s="16" t="s">
        <v>36</v>
      </c>
      <c r="B11" s="16" t="s">
        <v>37</v>
      </c>
      <c r="C11" s="16" t="s">
        <v>38</v>
      </c>
      <c r="D11" s="16" t="s">
        <v>39</v>
      </c>
      <c r="E11" s="17" t="s">
        <v>40</v>
      </c>
      <c r="F11" s="16" t="s">
        <v>6</v>
      </c>
      <c r="G11" s="18"/>
      <c r="H11" s="16" t="s">
        <v>41</v>
      </c>
    </row>
    <row r="12">
      <c r="A12" s="16" t="s">
        <v>42</v>
      </c>
      <c r="B12" s="16" t="s">
        <v>43</v>
      </c>
      <c r="C12" s="16" t="s">
        <v>44</v>
      </c>
      <c r="D12" s="16" t="s">
        <v>45</v>
      </c>
      <c r="E12" s="17" t="s">
        <v>46</v>
      </c>
      <c r="F12" s="16" t="s">
        <v>6</v>
      </c>
      <c r="G12" s="18"/>
      <c r="H12" s="16" t="s">
        <v>23</v>
      </c>
    </row>
    <row r="13">
      <c r="A13" s="16" t="s">
        <v>47</v>
      </c>
      <c r="B13" s="16" t="s">
        <v>48</v>
      </c>
      <c r="C13" s="16" t="s">
        <v>49</v>
      </c>
      <c r="D13" s="16" t="s">
        <v>50</v>
      </c>
      <c r="E13" s="17" t="s">
        <v>40</v>
      </c>
      <c r="F13" s="16" t="s">
        <v>6</v>
      </c>
      <c r="G13" s="18"/>
      <c r="H13" s="16" t="s">
        <v>23</v>
      </c>
    </row>
    <row r="14">
      <c r="A14" s="16" t="s">
        <v>51</v>
      </c>
      <c r="B14" s="16" t="s">
        <v>52</v>
      </c>
      <c r="C14" s="16" t="s">
        <v>53</v>
      </c>
      <c r="D14" s="16" t="s">
        <v>54</v>
      </c>
      <c r="E14" s="17" t="s">
        <v>55</v>
      </c>
      <c r="F14" s="16" t="s">
        <v>6</v>
      </c>
      <c r="G14" s="18"/>
      <c r="H14" s="16" t="s">
        <v>56</v>
      </c>
    </row>
    <row r="15">
      <c r="A15" s="16" t="s">
        <v>57</v>
      </c>
      <c r="B15" s="16" t="s">
        <v>58</v>
      </c>
      <c r="C15" s="16" t="s">
        <v>59</v>
      </c>
      <c r="D15" s="16" t="s">
        <v>60</v>
      </c>
      <c r="E15" s="17" t="s">
        <v>61</v>
      </c>
      <c r="F15" s="16" t="s">
        <v>6</v>
      </c>
      <c r="G15" s="18"/>
      <c r="H15" s="16" t="s">
        <v>56</v>
      </c>
    </row>
    <row r="16">
      <c r="A16" s="16" t="s">
        <v>62</v>
      </c>
      <c r="B16" s="16" t="s">
        <v>63</v>
      </c>
      <c r="C16" s="16" t="s">
        <v>64</v>
      </c>
      <c r="D16" s="16" t="s">
        <v>54</v>
      </c>
      <c r="E16" s="17" t="s">
        <v>65</v>
      </c>
      <c r="F16" s="16" t="s">
        <v>6</v>
      </c>
      <c r="G16" s="18"/>
      <c r="H16" s="16" t="s">
        <v>66</v>
      </c>
    </row>
    <row r="17">
      <c r="A17" s="16" t="s">
        <v>67</v>
      </c>
      <c r="B17" s="16" t="s">
        <v>68</v>
      </c>
      <c r="C17" s="16" t="s">
        <v>69</v>
      </c>
      <c r="D17" s="16" t="s">
        <v>70</v>
      </c>
      <c r="E17" s="17" t="s">
        <v>71</v>
      </c>
      <c r="F17" s="16" t="s">
        <v>6</v>
      </c>
      <c r="G17" s="18"/>
      <c r="H17" s="16" t="s">
        <v>23</v>
      </c>
    </row>
    <row r="18">
      <c r="A18" s="16" t="s">
        <v>72</v>
      </c>
      <c r="B18" s="16" t="s">
        <v>73</v>
      </c>
      <c r="C18" s="16" t="s">
        <v>74</v>
      </c>
      <c r="D18" s="16" t="s">
        <v>75</v>
      </c>
      <c r="E18" s="17" t="s">
        <v>76</v>
      </c>
      <c r="F18" s="16" t="s">
        <v>8</v>
      </c>
      <c r="G18" s="18"/>
      <c r="H18" s="16" t="s">
        <v>66</v>
      </c>
    </row>
    <row r="19">
      <c r="A19" s="16" t="s">
        <v>77</v>
      </c>
      <c r="B19" s="16" t="s">
        <v>78</v>
      </c>
      <c r="C19" s="16" t="s">
        <v>79</v>
      </c>
      <c r="D19" s="16" t="s">
        <v>80</v>
      </c>
      <c r="E19" s="17" t="s">
        <v>81</v>
      </c>
      <c r="F19" s="16" t="s">
        <v>6</v>
      </c>
      <c r="G19" s="18"/>
      <c r="H19" s="16" t="s">
        <v>82</v>
      </c>
    </row>
    <row r="20">
      <c r="A20" s="16" t="s">
        <v>83</v>
      </c>
      <c r="B20" s="16" t="s">
        <v>84</v>
      </c>
      <c r="C20" s="16" t="s">
        <v>85</v>
      </c>
      <c r="D20" s="16" t="s">
        <v>86</v>
      </c>
      <c r="E20" s="17" t="s">
        <v>87</v>
      </c>
      <c r="F20" s="16" t="s">
        <v>6</v>
      </c>
      <c r="G20" s="18"/>
      <c r="H20" s="16" t="s">
        <v>82</v>
      </c>
    </row>
    <row r="21">
      <c r="A21" s="16" t="s">
        <v>88</v>
      </c>
      <c r="B21" s="16" t="s">
        <v>89</v>
      </c>
      <c r="C21" s="16" t="s">
        <v>90</v>
      </c>
      <c r="D21" s="16" t="s">
        <v>91</v>
      </c>
      <c r="E21" s="17" t="s">
        <v>92</v>
      </c>
      <c r="F21" s="16" t="s">
        <v>6</v>
      </c>
      <c r="G21" s="18"/>
      <c r="H21" s="16" t="s">
        <v>23</v>
      </c>
    </row>
    <row r="22">
      <c r="A22" s="16" t="s">
        <v>93</v>
      </c>
      <c r="B22" s="16" t="s">
        <v>94</v>
      </c>
      <c r="C22" s="16" t="s">
        <v>95</v>
      </c>
      <c r="D22" s="16" t="s">
        <v>96</v>
      </c>
      <c r="E22" s="17" t="s">
        <v>97</v>
      </c>
      <c r="F22" s="16" t="s">
        <v>6</v>
      </c>
      <c r="G22" s="18"/>
      <c r="H22" s="16" t="s">
        <v>82</v>
      </c>
    </row>
    <row r="23">
      <c r="A23" s="16" t="s">
        <v>98</v>
      </c>
      <c r="B23" s="16" t="s">
        <v>99</v>
      </c>
      <c r="C23" s="16" t="s">
        <v>100</v>
      </c>
      <c r="D23" s="16" t="s">
        <v>86</v>
      </c>
      <c r="E23" s="17" t="s">
        <v>101</v>
      </c>
      <c r="F23" s="16" t="s">
        <v>6</v>
      </c>
      <c r="G23" s="18"/>
      <c r="H23" s="16" t="s">
        <v>82</v>
      </c>
    </row>
    <row r="24">
      <c r="A24" s="16" t="s">
        <v>102</v>
      </c>
      <c r="B24" s="16" t="s">
        <v>103</v>
      </c>
      <c r="C24" s="16" t="s">
        <v>104</v>
      </c>
      <c r="D24" s="16" t="s">
        <v>105</v>
      </c>
      <c r="E24" s="17" t="s">
        <v>106</v>
      </c>
      <c r="F24" s="16" t="s">
        <v>6</v>
      </c>
      <c r="G24" s="18"/>
      <c r="H24" s="16" t="s">
        <v>107</v>
      </c>
    </row>
    <row r="25">
      <c r="A25" s="16" t="s">
        <v>108</v>
      </c>
      <c r="B25" s="16" t="s">
        <v>109</v>
      </c>
      <c r="C25" s="16" t="s">
        <v>110</v>
      </c>
      <c r="D25" s="16" t="s">
        <v>111</v>
      </c>
      <c r="E25" s="17" t="s">
        <v>112</v>
      </c>
      <c r="F25" s="16" t="s">
        <v>6</v>
      </c>
      <c r="G25" s="18"/>
      <c r="H25" s="16" t="s">
        <v>107</v>
      </c>
    </row>
    <row r="26">
      <c r="A26" s="16" t="s">
        <v>113</v>
      </c>
      <c r="B26" s="16" t="s">
        <v>114</v>
      </c>
      <c r="C26" s="16" t="s">
        <v>115</v>
      </c>
      <c r="D26" s="16" t="s">
        <v>116</v>
      </c>
      <c r="E26" s="17" t="s">
        <v>117</v>
      </c>
      <c r="F26" s="16" t="s">
        <v>6</v>
      </c>
      <c r="G26" s="18"/>
      <c r="H26" s="16" t="s">
        <v>23</v>
      </c>
    </row>
    <row r="27">
      <c r="A27" s="16" t="s">
        <v>118</v>
      </c>
      <c r="B27" s="16" t="s">
        <v>119</v>
      </c>
      <c r="C27" s="16" t="s">
        <v>120</v>
      </c>
      <c r="D27" s="16" t="s">
        <v>121</v>
      </c>
      <c r="E27" s="17" t="s">
        <v>122</v>
      </c>
      <c r="F27" s="16" t="s">
        <v>6</v>
      </c>
      <c r="G27" s="18"/>
      <c r="H27" s="16" t="s">
        <v>56</v>
      </c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27">
      <formula1>Auth!$A$4:$D$4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COUNTIF(F8:F880,"Pass")</f>
        <v>12</v>
      </c>
      <c r="B5" s="10">
        <f>COUNTIF(F8:F880,"Fail")</f>
        <v>0</v>
      </c>
      <c r="C5" s="10">
        <f>E5-D5-B5-A5</f>
        <v>2</v>
      </c>
      <c r="D5" s="10">
        <f>COUNTIF(F$8:F$880,"N/A")</f>
        <v>1</v>
      </c>
      <c r="E5" s="11">
        <f>COUNTA(A8:A94)
</f>
        <v>15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123</v>
      </c>
      <c r="B8" s="16" t="s">
        <v>124</v>
      </c>
      <c r="C8" s="16" t="s">
        <v>125</v>
      </c>
      <c r="D8" s="16" t="s">
        <v>126</v>
      </c>
      <c r="E8" s="17"/>
      <c r="F8" s="16" t="s">
        <v>6</v>
      </c>
      <c r="G8" s="18"/>
      <c r="H8" s="16" t="s">
        <v>23</v>
      </c>
    </row>
    <row r="9">
      <c r="A9" s="16" t="s">
        <v>127</v>
      </c>
      <c r="B9" s="16" t="s">
        <v>128</v>
      </c>
      <c r="C9" s="16" t="s">
        <v>129</v>
      </c>
      <c r="D9" s="16" t="s">
        <v>130</v>
      </c>
      <c r="E9" s="17" t="s">
        <v>131</v>
      </c>
      <c r="F9" s="16" t="s">
        <v>6</v>
      </c>
      <c r="G9" s="18"/>
      <c r="H9" s="16" t="s">
        <v>23</v>
      </c>
    </row>
    <row r="10">
      <c r="A10" s="16" t="s">
        <v>132</v>
      </c>
      <c r="B10" s="16" t="s">
        <v>133</v>
      </c>
      <c r="C10" s="16" t="s">
        <v>134</v>
      </c>
      <c r="D10" s="16" t="s">
        <v>135</v>
      </c>
      <c r="E10" s="17" t="s">
        <v>136</v>
      </c>
      <c r="F10" s="16" t="s">
        <v>6</v>
      </c>
      <c r="G10" s="18"/>
      <c r="H10" s="16" t="s">
        <v>82</v>
      </c>
    </row>
    <row r="11">
      <c r="A11" s="16" t="s">
        <v>137</v>
      </c>
      <c r="B11" s="16" t="s">
        <v>138</v>
      </c>
      <c r="C11" s="16" t="s">
        <v>139</v>
      </c>
      <c r="D11" s="16" t="s">
        <v>86</v>
      </c>
      <c r="E11" s="17"/>
      <c r="F11" s="16" t="s">
        <v>6</v>
      </c>
      <c r="G11" s="18"/>
      <c r="H11" s="16" t="s">
        <v>82</v>
      </c>
    </row>
    <row r="12">
      <c r="A12" s="16" t="s">
        <v>140</v>
      </c>
      <c r="B12" s="16" t="s">
        <v>141</v>
      </c>
      <c r="C12" s="16" t="s">
        <v>142</v>
      </c>
      <c r="D12" s="16" t="s">
        <v>143</v>
      </c>
      <c r="E12" s="17" t="s">
        <v>144</v>
      </c>
      <c r="F12" s="16" t="s">
        <v>6</v>
      </c>
      <c r="G12" s="18"/>
      <c r="H12" s="16" t="s">
        <v>29</v>
      </c>
    </row>
    <row r="13">
      <c r="A13" s="16" t="s">
        <v>145</v>
      </c>
      <c r="B13" s="16" t="s">
        <v>146</v>
      </c>
      <c r="C13" s="16" t="s">
        <v>147</v>
      </c>
      <c r="D13" s="16" t="s">
        <v>148</v>
      </c>
      <c r="E13" s="17" t="s">
        <v>149</v>
      </c>
      <c r="F13" s="16" t="s">
        <v>6</v>
      </c>
      <c r="G13" s="18"/>
      <c r="H13" s="16" t="s">
        <v>23</v>
      </c>
    </row>
    <row r="14">
      <c r="A14" s="16" t="s">
        <v>150</v>
      </c>
      <c r="B14" s="16" t="s">
        <v>151</v>
      </c>
      <c r="C14" s="16" t="s">
        <v>152</v>
      </c>
      <c r="D14" s="16" t="s">
        <v>153</v>
      </c>
      <c r="E14" s="17"/>
      <c r="F14" s="16" t="s">
        <v>6</v>
      </c>
      <c r="G14" s="18"/>
      <c r="H14" s="16" t="s">
        <v>154</v>
      </c>
    </row>
    <row r="15">
      <c r="A15" s="16" t="s">
        <v>155</v>
      </c>
      <c r="B15" s="16" t="s">
        <v>156</v>
      </c>
      <c r="C15" s="16" t="s">
        <v>157</v>
      </c>
      <c r="D15" s="16" t="s">
        <v>158</v>
      </c>
      <c r="E15" s="17" t="s">
        <v>159</v>
      </c>
      <c r="F15" s="16" t="s">
        <v>6</v>
      </c>
      <c r="G15" s="18"/>
      <c r="H15" s="16" t="s">
        <v>160</v>
      </c>
    </row>
    <row r="16">
      <c r="A16" s="16" t="s">
        <v>161</v>
      </c>
      <c r="B16" s="16" t="s">
        <v>162</v>
      </c>
      <c r="C16" s="16" t="s">
        <v>163</v>
      </c>
      <c r="D16" s="16" t="s">
        <v>164</v>
      </c>
      <c r="E16" s="17" t="s">
        <v>165</v>
      </c>
      <c r="F16" s="16" t="s">
        <v>6</v>
      </c>
      <c r="G16" s="18"/>
      <c r="H16" s="16" t="s">
        <v>107</v>
      </c>
    </row>
    <row r="17">
      <c r="A17" s="16" t="s">
        <v>166</v>
      </c>
      <c r="B17" s="16" t="s">
        <v>167</v>
      </c>
      <c r="C17" s="16" t="s">
        <v>168</v>
      </c>
      <c r="D17" s="16" t="s">
        <v>169</v>
      </c>
      <c r="E17" s="17" t="s">
        <v>131</v>
      </c>
      <c r="F17" s="16" t="s">
        <v>8</v>
      </c>
      <c r="G17" s="18"/>
      <c r="H17" s="16" t="s">
        <v>82</v>
      </c>
    </row>
    <row r="18">
      <c r="A18" s="16" t="s">
        <v>170</v>
      </c>
      <c r="B18" s="16" t="s">
        <v>171</v>
      </c>
      <c r="C18" s="16" t="s">
        <v>172</v>
      </c>
      <c r="D18" s="16" t="s">
        <v>173</v>
      </c>
      <c r="E18" s="17" t="s">
        <v>174</v>
      </c>
      <c r="F18" s="16" t="s">
        <v>6</v>
      </c>
      <c r="G18" s="18"/>
      <c r="H18" s="16" t="s">
        <v>35</v>
      </c>
    </row>
    <row r="19">
      <c r="A19" s="16" t="s">
        <v>175</v>
      </c>
      <c r="B19" s="16" t="s">
        <v>176</v>
      </c>
      <c r="C19" s="16" t="s">
        <v>177</v>
      </c>
      <c r="D19" s="16" t="s">
        <v>178</v>
      </c>
      <c r="E19" s="17" t="s">
        <v>179</v>
      </c>
      <c r="F19" s="16" t="s">
        <v>6</v>
      </c>
      <c r="G19" s="18"/>
      <c r="H19" s="16" t="s">
        <v>41</v>
      </c>
    </row>
    <row r="20">
      <c r="A20" s="16" t="s">
        <v>180</v>
      </c>
      <c r="B20" s="16" t="s">
        <v>181</v>
      </c>
      <c r="C20" s="16" t="s">
        <v>182</v>
      </c>
      <c r="D20" s="16" t="s">
        <v>183</v>
      </c>
      <c r="E20" s="17"/>
      <c r="F20" s="16" t="s">
        <v>9</v>
      </c>
      <c r="G20" s="18"/>
      <c r="H20" s="16"/>
    </row>
    <row r="21">
      <c r="A21" s="16" t="s">
        <v>184</v>
      </c>
      <c r="B21" s="16" t="s">
        <v>185</v>
      </c>
      <c r="C21" s="16" t="s">
        <v>186</v>
      </c>
      <c r="D21" s="16" t="s">
        <v>187</v>
      </c>
      <c r="E21" s="17" t="s">
        <v>188</v>
      </c>
      <c r="F21" s="16" t="s">
        <v>6</v>
      </c>
      <c r="G21" s="18"/>
      <c r="H21" s="16" t="s">
        <v>35</v>
      </c>
    </row>
    <row r="22">
      <c r="A22" s="16" t="s">
        <v>189</v>
      </c>
      <c r="B22" s="16" t="s">
        <v>190</v>
      </c>
      <c r="C22" s="16" t="s">
        <v>191</v>
      </c>
      <c r="D22" s="16" t="s">
        <v>192</v>
      </c>
      <c r="E22" s="17" t="s">
        <v>193</v>
      </c>
      <c r="F22" s="16" t="s">
        <v>8</v>
      </c>
      <c r="G22" s="18"/>
      <c r="H22" s="16" t="s">
        <v>194</v>
      </c>
    </row>
    <row r="23" ht="12.75" customHeight="1">
      <c r="A23" s="6"/>
      <c r="B23" s="6"/>
      <c r="C23" s="6"/>
      <c r="D23" s="6"/>
      <c r="E23" s="6"/>
      <c r="F23" s="6"/>
      <c r="G23" s="6"/>
      <c r="H23" s="6"/>
    </row>
    <row r="24" ht="12.75" customHeight="1">
      <c r="A24" s="6"/>
      <c r="B24" s="6"/>
      <c r="C24" s="6"/>
      <c r="D24" s="6"/>
      <c r="E24" s="6"/>
      <c r="F24" s="6"/>
      <c r="G24" s="6"/>
      <c r="H24" s="6"/>
    </row>
    <row r="25" ht="12.75" customHeight="1">
      <c r="A25" s="6"/>
      <c r="B25" s="6"/>
      <c r="C25" s="6"/>
      <c r="D25" s="6"/>
      <c r="E25" s="6"/>
      <c r="F25" s="6"/>
      <c r="G25" s="6"/>
      <c r="H25" s="6"/>
    </row>
    <row r="26" ht="12.75" customHeight="1">
      <c r="A26" s="6"/>
      <c r="B26" s="6"/>
      <c r="C26" s="6"/>
      <c r="D26" s="6"/>
      <c r="E26" s="6"/>
      <c r="F26" s="6"/>
      <c r="G26" s="6"/>
      <c r="H26" s="6"/>
    </row>
    <row r="27" ht="12.75" customHeight="1">
      <c r="A27" s="6"/>
      <c r="B27" s="6"/>
      <c r="C27" s="6"/>
      <c r="D27" s="6"/>
      <c r="E27" s="6"/>
      <c r="F27" s="6"/>
      <c r="G27" s="6"/>
      <c r="H27" s="6"/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27">
      <formula1>Alert!$A$4:$D$4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COUNTIF(F8:F882,"Pass")</f>
        <v>13</v>
      </c>
      <c r="B5" s="10">
        <f>COUNTIF(F8:F882,"Fail")</f>
        <v>0</v>
      </c>
      <c r="C5" s="10">
        <f>E5-D5-B5-A5</f>
        <v>2</v>
      </c>
      <c r="D5" s="10">
        <f>COUNTIF(F$8:F$882,"N/A")</f>
        <v>0</v>
      </c>
      <c r="E5" s="11">
        <f>COUNTA(A8:A96)
</f>
        <v>15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195</v>
      </c>
      <c r="B8" s="16" t="s">
        <v>196</v>
      </c>
      <c r="C8" s="16" t="s">
        <v>197</v>
      </c>
      <c r="D8" s="16" t="s">
        <v>198</v>
      </c>
      <c r="E8" s="17" t="s">
        <v>199</v>
      </c>
      <c r="F8" s="16" t="s">
        <v>6</v>
      </c>
      <c r="G8" s="18"/>
      <c r="H8" s="16" t="s">
        <v>23</v>
      </c>
    </row>
    <row r="9">
      <c r="A9" s="16" t="s">
        <v>200</v>
      </c>
      <c r="B9" s="16" t="s">
        <v>201</v>
      </c>
      <c r="C9" s="16" t="s">
        <v>202</v>
      </c>
      <c r="D9" s="16" t="s">
        <v>203</v>
      </c>
      <c r="E9" s="17" t="s">
        <v>204</v>
      </c>
      <c r="F9" s="16" t="s">
        <v>6</v>
      </c>
      <c r="G9" s="18"/>
      <c r="H9" s="16" t="s">
        <v>29</v>
      </c>
    </row>
    <row r="10">
      <c r="A10" s="16" t="s">
        <v>205</v>
      </c>
      <c r="B10" s="16" t="s">
        <v>206</v>
      </c>
      <c r="C10" s="16" t="s">
        <v>207</v>
      </c>
      <c r="D10" s="16" t="s">
        <v>208</v>
      </c>
      <c r="E10" s="17"/>
      <c r="F10" s="16" t="s">
        <v>6</v>
      </c>
      <c r="G10" s="18"/>
      <c r="H10" s="16" t="s">
        <v>23</v>
      </c>
    </row>
    <row r="11">
      <c r="A11" s="16" t="s">
        <v>209</v>
      </c>
      <c r="B11" s="16" t="s">
        <v>210</v>
      </c>
      <c r="C11" s="16" t="s">
        <v>211</v>
      </c>
      <c r="D11" s="16" t="s">
        <v>212</v>
      </c>
      <c r="E11" s="17" t="s">
        <v>213</v>
      </c>
      <c r="F11" s="16" t="s">
        <v>6</v>
      </c>
      <c r="G11" s="18"/>
      <c r="H11" s="16" t="s">
        <v>154</v>
      </c>
    </row>
    <row r="12">
      <c r="A12" s="16" t="s">
        <v>214</v>
      </c>
      <c r="B12" s="16" t="s">
        <v>215</v>
      </c>
      <c r="C12" s="16" t="s">
        <v>216</v>
      </c>
      <c r="D12" s="16" t="s">
        <v>217</v>
      </c>
      <c r="E12" s="17" t="s">
        <v>218</v>
      </c>
      <c r="F12" s="16" t="s">
        <v>6</v>
      </c>
      <c r="G12" s="18"/>
      <c r="H12" s="16" t="s">
        <v>41</v>
      </c>
    </row>
    <row r="13">
      <c r="A13" s="16" t="s">
        <v>219</v>
      </c>
      <c r="B13" s="16" t="s">
        <v>220</v>
      </c>
      <c r="C13" s="16" t="s">
        <v>221</v>
      </c>
      <c r="D13" s="16" t="s">
        <v>222</v>
      </c>
      <c r="E13" s="17"/>
      <c r="F13" s="16" t="s">
        <v>6</v>
      </c>
      <c r="G13" s="18"/>
      <c r="H13" s="16" t="s">
        <v>82</v>
      </c>
    </row>
    <row r="14">
      <c r="A14" s="16" t="s">
        <v>223</v>
      </c>
      <c r="B14" s="16" t="s">
        <v>224</v>
      </c>
      <c r="C14" s="16" t="s">
        <v>225</v>
      </c>
      <c r="D14" s="16" t="s">
        <v>226</v>
      </c>
      <c r="E14" s="17" t="s">
        <v>227</v>
      </c>
      <c r="F14" s="16" t="s">
        <v>6</v>
      </c>
      <c r="G14" s="18"/>
      <c r="H14" s="16" t="s">
        <v>107</v>
      </c>
    </row>
    <row r="15">
      <c r="A15" s="16" t="s">
        <v>228</v>
      </c>
      <c r="B15" s="16" t="s">
        <v>229</v>
      </c>
      <c r="C15" s="16" t="s">
        <v>230</v>
      </c>
      <c r="D15" s="16" t="s">
        <v>231</v>
      </c>
      <c r="E15" s="17" t="s">
        <v>232</v>
      </c>
      <c r="F15" s="16" t="s">
        <v>6</v>
      </c>
      <c r="G15" s="18"/>
      <c r="H15" s="16" t="s">
        <v>107</v>
      </c>
    </row>
    <row r="16">
      <c r="A16" s="16" t="s">
        <v>233</v>
      </c>
      <c r="B16" s="16" t="s">
        <v>234</v>
      </c>
      <c r="C16" s="16" t="s">
        <v>235</v>
      </c>
      <c r="D16" s="16" t="s">
        <v>236</v>
      </c>
      <c r="E16" s="17" t="s">
        <v>122</v>
      </c>
      <c r="F16" s="16" t="s">
        <v>6</v>
      </c>
      <c r="G16" s="18"/>
      <c r="H16" s="16" t="s">
        <v>56</v>
      </c>
    </row>
    <row r="17">
      <c r="A17" s="16" t="s">
        <v>237</v>
      </c>
      <c r="B17" s="16" t="s">
        <v>238</v>
      </c>
      <c r="C17" s="16" t="s">
        <v>239</v>
      </c>
      <c r="D17" s="16" t="s">
        <v>240</v>
      </c>
      <c r="E17" s="17"/>
      <c r="F17" s="16" t="s">
        <v>8</v>
      </c>
      <c r="G17" s="18"/>
      <c r="H17" s="16" t="s">
        <v>41</v>
      </c>
    </row>
    <row r="18">
      <c r="A18" s="16" t="s">
        <v>241</v>
      </c>
      <c r="B18" s="16" t="s">
        <v>242</v>
      </c>
      <c r="C18" s="16" t="s">
        <v>243</v>
      </c>
      <c r="D18" s="16" t="s">
        <v>244</v>
      </c>
      <c r="E18" s="17" t="s">
        <v>245</v>
      </c>
      <c r="F18" s="16" t="s">
        <v>6</v>
      </c>
      <c r="G18" s="18"/>
      <c r="H18" s="16" t="s">
        <v>23</v>
      </c>
    </row>
    <row r="19">
      <c r="A19" s="16" t="s">
        <v>246</v>
      </c>
      <c r="B19" s="16" t="s">
        <v>247</v>
      </c>
      <c r="C19" s="16" t="s">
        <v>248</v>
      </c>
      <c r="D19" s="16" t="s">
        <v>249</v>
      </c>
      <c r="E19" s="17" t="s">
        <v>250</v>
      </c>
      <c r="F19" s="16" t="s">
        <v>6</v>
      </c>
      <c r="G19" s="18"/>
      <c r="H19" s="16" t="s">
        <v>35</v>
      </c>
    </row>
    <row r="20">
      <c r="A20" s="16" t="s">
        <v>251</v>
      </c>
      <c r="B20" s="16" t="s">
        <v>252</v>
      </c>
      <c r="C20" s="16" t="s">
        <v>253</v>
      </c>
      <c r="D20" s="16" t="s">
        <v>254</v>
      </c>
      <c r="E20" s="17"/>
      <c r="F20" s="16" t="s">
        <v>6</v>
      </c>
      <c r="G20" s="18"/>
      <c r="H20" s="16" t="s">
        <v>255</v>
      </c>
    </row>
    <row r="21">
      <c r="A21" s="16" t="s">
        <v>256</v>
      </c>
      <c r="B21" s="16" t="s">
        <v>257</v>
      </c>
      <c r="C21" s="16" t="s">
        <v>258</v>
      </c>
      <c r="D21" s="16" t="s">
        <v>259</v>
      </c>
      <c r="E21" s="17"/>
      <c r="F21" s="16" t="s">
        <v>6</v>
      </c>
      <c r="G21" s="18"/>
      <c r="H21" s="16" t="s">
        <v>255</v>
      </c>
    </row>
    <row r="22">
      <c r="A22" s="16" t="s">
        <v>260</v>
      </c>
      <c r="B22" s="16" t="s">
        <v>261</v>
      </c>
      <c r="C22" s="16" t="s">
        <v>262</v>
      </c>
      <c r="D22" s="16" t="s">
        <v>263</v>
      </c>
      <c r="E22" s="17"/>
      <c r="F22" s="16" t="s">
        <v>8</v>
      </c>
      <c r="G22" s="18"/>
      <c r="H22" s="16" t="s">
        <v>23</v>
      </c>
    </row>
    <row r="23" ht="12.75" customHeight="1">
      <c r="A23" s="6"/>
      <c r="B23" s="6"/>
      <c r="C23" s="6"/>
      <c r="D23" s="6"/>
      <c r="E23" s="6"/>
      <c r="F23" s="6"/>
      <c r="G23" s="6"/>
      <c r="H23" s="6"/>
    </row>
    <row r="24" ht="12.75" customHeight="1">
      <c r="A24" s="6"/>
      <c r="B24" s="6"/>
      <c r="C24" s="6"/>
      <c r="D24" s="6"/>
      <c r="E24" s="6"/>
      <c r="F24" s="6"/>
      <c r="G24" s="6"/>
      <c r="H24" s="6"/>
    </row>
    <row r="25" ht="12.75" customHeight="1">
      <c r="A25" s="6"/>
      <c r="B25" s="6"/>
      <c r="C25" s="6"/>
      <c r="D25" s="6"/>
      <c r="E25" s="6"/>
      <c r="F25" s="6"/>
      <c r="G25" s="6"/>
      <c r="H25" s="6"/>
    </row>
    <row r="26" ht="12.75" customHeight="1">
      <c r="A26" s="6"/>
      <c r="B26" s="6"/>
      <c r="C26" s="6"/>
      <c r="D26" s="6"/>
      <c r="E26" s="6"/>
      <c r="F26" s="6"/>
      <c r="G26" s="6"/>
      <c r="H26" s="6"/>
    </row>
    <row r="27" ht="12.75" customHeight="1">
      <c r="A27" s="6"/>
      <c r="B27" s="6"/>
      <c r="C27" s="6"/>
      <c r="D27" s="6"/>
      <c r="E27" s="6"/>
      <c r="F27" s="6"/>
      <c r="G27" s="6"/>
      <c r="H27" s="6"/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29">
      <formula1>Incident!$A$4:$D$4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COUNTIF(F8:F878,"Pass")</f>
        <v>10</v>
      </c>
      <c r="B5" s="10">
        <f>COUNTIF(F8:F878,"Fail")</f>
        <v>0</v>
      </c>
      <c r="C5" s="10">
        <f>E5-D5-B5-A5</f>
        <v>2</v>
      </c>
      <c r="D5" s="10">
        <f>COUNTIF(F$8:F$878,"N/A")</f>
        <v>0</v>
      </c>
      <c r="E5" s="11">
        <f>COUNTA(A8:A92)
</f>
        <v>12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264</v>
      </c>
      <c r="B8" s="16" t="s">
        <v>265</v>
      </c>
      <c r="C8" s="16" t="s">
        <v>266</v>
      </c>
      <c r="D8" s="16" t="s">
        <v>267</v>
      </c>
      <c r="E8" s="17"/>
      <c r="F8" s="16" t="s">
        <v>6</v>
      </c>
      <c r="G8" s="18"/>
      <c r="H8" s="16" t="s">
        <v>23</v>
      </c>
    </row>
    <row r="9">
      <c r="A9" s="16" t="s">
        <v>268</v>
      </c>
      <c r="B9" s="16" t="s">
        <v>269</v>
      </c>
      <c r="C9" s="16" t="s">
        <v>270</v>
      </c>
      <c r="D9" s="16" t="s">
        <v>271</v>
      </c>
      <c r="E9" s="17" t="s">
        <v>272</v>
      </c>
      <c r="F9" s="16" t="s">
        <v>6</v>
      </c>
      <c r="G9" s="18"/>
      <c r="H9" s="16" t="s">
        <v>23</v>
      </c>
    </row>
    <row r="10">
      <c r="A10" s="16" t="s">
        <v>273</v>
      </c>
      <c r="B10" s="16" t="s">
        <v>274</v>
      </c>
      <c r="C10" s="16" t="s">
        <v>275</v>
      </c>
      <c r="D10" s="16" t="s">
        <v>276</v>
      </c>
      <c r="E10" s="17" t="s">
        <v>277</v>
      </c>
      <c r="F10" s="16" t="s">
        <v>6</v>
      </c>
      <c r="G10" s="18"/>
      <c r="H10" s="16" t="s">
        <v>82</v>
      </c>
    </row>
    <row r="11">
      <c r="A11" s="16" t="s">
        <v>278</v>
      </c>
      <c r="B11" s="16" t="s">
        <v>279</v>
      </c>
      <c r="C11" s="16" t="s">
        <v>280</v>
      </c>
      <c r="D11" s="16" t="s">
        <v>281</v>
      </c>
      <c r="E11" s="17" t="s">
        <v>282</v>
      </c>
      <c r="F11" s="16" t="s">
        <v>8</v>
      </c>
      <c r="G11" s="18"/>
      <c r="H11" s="16" t="s">
        <v>194</v>
      </c>
    </row>
    <row r="12">
      <c r="A12" s="16" t="s">
        <v>283</v>
      </c>
      <c r="B12" s="16" t="s">
        <v>284</v>
      </c>
      <c r="C12" s="16" t="s">
        <v>285</v>
      </c>
      <c r="D12" s="16" t="s">
        <v>286</v>
      </c>
      <c r="E12" s="17" t="s">
        <v>287</v>
      </c>
      <c r="F12" s="16" t="s">
        <v>6</v>
      </c>
      <c r="G12" s="18"/>
      <c r="H12" s="16" t="s">
        <v>23</v>
      </c>
    </row>
    <row r="13">
      <c r="A13" s="16" t="s">
        <v>288</v>
      </c>
      <c r="B13" s="16" t="s">
        <v>289</v>
      </c>
      <c r="C13" s="16" t="s">
        <v>290</v>
      </c>
      <c r="D13" s="16" t="s">
        <v>291</v>
      </c>
      <c r="E13" s="17" t="s">
        <v>292</v>
      </c>
      <c r="F13" s="16" t="s">
        <v>6</v>
      </c>
      <c r="G13" s="18"/>
      <c r="H13" s="16" t="s">
        <v>41</v>
      </c>
    </row>
    <row r="14">
      <c r="A14" s="16" t="s">
        <v>293</v>
      </c>
      <c r="B14" s="16" t="s">
        <v>294</v>
      </c>
      <c r="C14" s="16" t="s">
        <v>295</v>
      </c>
      <c r="D14" s="16" t="s">
        <v>296</v>
      </c>
      <c r="E14" s="17" t="s">
        <v>297</v>
      </c>
      <c r="F14" s="16" t="s">
        <v>6</v>
      </c>
      <c r="G14" s="18"/>
      <c r="H14" s="16" t="s">
        <v>154</v>
      </c>
    </row>
    <row r="15">
      <c r="A15" s="16" t="s">
        <v>298</v>
      </c>
      <c r="B15" s="16" t="s">
        <v>299</v>
      </c>
      <c r="C15" s="16" t="s">
        <v>300</v>
      </c>
      <c r="D15" s="16" t="s">
        <v>301</v>
      </c>
      <c r="E15" s="17" t="s">
        <v>131</v>
      </c>
      <c r="F15" s="16" t="s">
        <v>6</v>
      </c>
      <c r="G15" s="18"/>
      <c r="H15" s="16" t="s">
        <v>23</v>
      </c>
    </row>
    <row r="16">
      <c r="A16" s="16" t="s">
        <v>302</v>
      </c>
      <c r="B16" s="16" t="s">
        <v>303</v>
      </c>
      <c r="C16" s="16" t="s">
        <v>304</v>
      </c>
      <c r="D16" s="16" t="s">
        <v>305</v>
      </c>
      <c r="E16" s="17"/>
      <c r="F16" s="16" t="s">
        <v>6</v>
      </c>
      <c r="G16" s="18"/>
      <c r="H16" s="16" t="s">
        <v>23</v>
      </c>
    </row>
    <row r="17">
      <c r="A17" s="16" t="s">
        <v>306</v>
      </c>
      <c r="B17" s="16" t="s">
        <v>307</v>
      </c>
      <c r="C17" s="16" t="s">
        <v>157</v>
      </c>
      <c r="D17" s="16" t="s">
        <v>308</v>
      </c>
      <c r="E17" s="17" t="s">
        <v>159</v>
      </c>
      <c r="F17" s="16" t="s">
        <v>6</v>
      </c>
      <c r="G17" s="18"/>
      <c r="H17" s="16" t="s">
        <v>107</v>
      </c>
    </row>
    <row r="18">
      <c r="A18" s="16" t="s">
        <v>309</v>
      </c>
      <c r="B18" s="16" t="s">
        <v>310</v>
      </c>
      <c r="C18" s="16" t="s">
        <v>311</v>
      </c>
      <c r="D18" s="16" t="s">
        <v>312</v>
      </c>
      <c r="E18" s="17"/>
      <c r="F18" s="16" t="s">
        <v>6</v>
      </c>
      <c r="G18" s="18"/>
      <c r="H18" s="16" t="s">
        <v>107</v>
      </c>
    </row>
    <row r="19">
      <c r="A19" s="16" t="s">
        <v>313</v>
      </c>
      <c r="B19" s="16" t="s">
        <v>314</v>
      </c>
      <c r="C19" s="16" t="s">
        <v>315</v>
      </c>
      <c r="D19" s="16" t="s">
        <v>316</v>
      </c>
      <c r="E19" s="17"/>
      <c r="F19" s="16" t="s">
        <v>8</v>
      </c>
      <c r="G19" s="18"/>
      <c r="H19" s="16" t="s">
        <v>107</v>
      </c>
    </row>
    <row r="20" ht="12.75" customHeight="1">
      <c r="A20" s="6"/>
      <c r="B20" s="6"/>
      <c r="C20" s="6"/>
      <c r="D20" s="6"/>
      <c r="E20" s="6"/>
      <c r="F20" s="6"/>
      <c r="G20" s="6"/>
      <c r="H20" s="6"/>
    </row>
    <row r="21" ht="12.75" customHeight="1">
      <c r="A21" s="6"/>
      <c r="B21" s="6"/>
      <c r="C21" s="6"/>
      <c r="D21" s="6"/>
      <c r="E21" s="6"/>
      <c r="F21" s="6"/>
      <c r="G21" s="6"/>
      <c r="H21" s="6"/>
    </row>
    <row r="22" ht="12.75" customHeight="1">
      <c r="A22" s="6"/>
      <c r="B22" s="6"/>
      <c r="C22" s="6"/>
      <c r="D22" s="6"/>
      <c r="E22" s="6"/>
      <c r="F22" s="6"/>
      <c r="G22" s="6"/>
      <c r="H22" s="6"/>
    </row>
    <row r="23" ht="12.75" customHeight="1">
      <c r="A23" s="6"/>
      <c r="B23" s="6"/>
      <c r="C23" s="6"/>
      <c r="D23" s="6"/>
      <c r="E23" s="6"/>
      <c r="F23" s="6"/>
      <c r="G23" s="6"/>
      <c r="H23" s="6"/>
    </row>
    <row r="24" ht="12.75" customHeight="1">
      <c r="A24" s="6"/>
      <c r="B24" s="6"/>
      <c r="C24" s="6"/>
      <c r="D24" s="6"/>
      <c r="E24" s="6"/>
      <c r="F24" s="6"/>
      <c r="G24" s="6"/>
      <c r="H24" s="6"/>
    </row>
    <row r="25" ht="12.75" customHeight="1">
      <c r="A25" s="6"/>
      <c r="B25" s="6"/>
      <c r="C25" s="6"/>
      <c r="D25" s="6"/>
      <c r="E25" s="6"/>
      <c r="F25" s="6"/>
      <c r="G25" s="6"/>
      <c r="H25" s="6"/>
    </row>
    <row r="26" ht="12.75" customHeight="1">
      <c r="A26" s="6"/>
      <c r="B26" s="6"/>
      <c r="C26" s="6"/>
      <c r="D26" s="6"/>
      <c r="E26" s="6"/>
      <c r="F26" s="6"/>
      <c r="G26" s="6"/>
      <c r="H26" s="6"/>
    </row>
    <row r="27" ht="12.75" customHeight="1">
      <c r="A27" s="6"/>
      <c r="B27" s="6"/>
      <c r="C27" s="6"/>
      <c r="D27" s="6"/>
      <c r="E27" s="6"/>
      <c r="F27" s="6"/>
      <c r="G27" s="6"/>
      <c r="H27" s="6"/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25">
      <formula1>Shelter!$A$4:$D$4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COUNTIF(F8:F887,"Pass")</f>
        <v>16</v>
      </c>
      <c r="B5" s="10">
        <f>COUNTIF(F8:F887,"Fail")</f>
        <v>3</v>
      </c>
      <c r="C5" s="10">
        <f>E5-D5-B5-A5</f>
        <v>1</v>
      </c>
      <c r="D5" s="10">
        <f>COUNTIF(F$8:F$887,"N/A")</f>
        <v>0</v>
      </c>
      <c r="E5" s="11">
        <f>COUNTA(A8:A101)
</f>
        <v>20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317</v>
      </c>
      <c r="B8" s="16" t="s">
        <v>318</v>
      </c>
      <c r="C8" s="16" t="s">
        <v>319</v>
      </c>
      <c r="D8" s="16" t="s">
        <v>320</v>
      </c>
      <c r="E8" s="17" t="s">
        <v>321</v>
      </c>
      <c r="F8" s="16" t="s">
        <v>6</v>
      </c>
      <c r="G8" s="18"/>
      <c r="H8" s="16" t="s">
        <v>23</v>
      </c>
    </row>
    <row r="9">
      <c r="A9" s="16" t="s">
        <v>322</v>
      </c>
      <c r="B9" s="16" t="s">
        <v>323</v>
      </c>
      <c r="C9" s="16" t="s">
        <v>324</v>
      </c>
      <c r="D9" s="16" t="s">
        <v>249</v>
      </c>
      <c r="E9" s="17" t="s">
        <v>325</v>
      </c>
      <c r="F9" s="16" t="s">
        <v>6</v>
      </c>
      <c r="G9" s="18"/>
      <c r="H9" s="16" t="s">
        <v>35</v>
      </c>
    </row>
    <row r="10">
      <c r="A10" s="16" t="s">
        <v>326</v>
      </c>
      <c r="B10" s="16" t="s">
        <v>327</v>
      </c>
      <c r="C10" s="16" t="s">
        <v>328</v>
      </c>
      <c r="D10" s="16" t="s">
        <v>329</v>
      </c>
      <c r="E10" s="17"/>
      <c r="F10" s="16" t="s">
        <v>6</v>
      </c>
      <c r="G10" s="18"/>
      <c r="H10" s="16" t="s">
        <v>23</v>
      </c>
    </row>
    <row r="11">
      <c r="A11" s="16" t="s">
        <v>330</v>
      </c>
      <c r="B11" s="16" t="s">
        <v>331</v>
      </c>
      <c r="C11" s="16" t="s">
        <v>332</v>
      </c>
      <c r="D11" s="16" t="s">
        <v>333</v>
      </c>
      <c r="E11" s="17" t="s">
        <v>334</v>
      </c>
      <c r="F11" s="16" t="s">
        <v>6</v>
      </c>
      <c r="G11" s="18"/>
      <c r="H11" s="16" t="s">
        <v>23</v>
      </c>
    </row>
    <row r="12">
      <c r="A12" s="16" t="s">
        <v>335</v>
      </c>
      <c r="B12" s="16" t="s">
        <v>336</v>
      </c>
      <c r="C12" s="16" t="s">
        <v>337</v>
      </c>
      <c r="D12" s="16" t="s">
        <v>338</v>
      </c>
      <c r="E12" s="17" t="s">
        <v>339</v>
      </c>
      <c r="F12" s="16" t="s">
        <v>6</v>
      </c>
      <c r="G12" s="18"/>
      <c r="H12" s="16" t="s">
        <v>154</v>
      </c>
    </row>
    <row r="13">
      <c r="A13" s="16" t="s">
        <v>340</v>
      </c>
      <c r="B13" s="16" t="s">
        <v>341</v>
      </c>
      <c r="C13" s="16" t="s">
        <v>342</v>
      </c>
      <c r="D13" s="16" t="s">
        <v>343</v>
      </c>
      <c r="E13" s="17"/>
      <c r="F13" s="16" t="s">
        <v>6</v>
      </c>
      <c r="G13" s="18"/>
      <c r="H13" s="16" t="s">
        <v>41</v>
      </c>
    </row>
    <row r="14">
      <c r="A14" s="16" t="s">
        <v>344</v>
      </c>
      <c r="B14" s="16" t="s">
        <v>345</v>
      </c>
      <c r="C14" s="16" t="s">
        <v>346</v>
      </c>
      <c r="D14" s="16" t="s">
        <v>347</v>
      </c>
      <c r="E14" s="17" t="s">
        <v>348</v>
      </c>
      <c r="F14" s="16" t="s">
        <v>6</v>
      </c>
      <c r="G14" s="18"/>
      <c r="H14" s="16" t="s">
        <v>41</v>
      </c>
    </row>
    <row r="15">
      <c r="A15" s="16" t="s">
        <v>349</v>
      </c>
      <c r="B15" s="16" t="s">
        <v>350</v>
      </c>
      <c r="C15" s="16" t="s">
        <v>351</v>
      </c>
      <c r="D15" s="16" t="s">
        <v>352</v>
      </c>
      <c r="E15" s="17" t="s">
        <v>353</v>
      </c>
      <c r="F15" s="16" t="s">
        <v>6</v>
      </c>
      <c r="G15" s="18"/>
      <c r="H15" s="16" t="s">
        <v>23</v>
      </c>
    </row>
    <row r="16">
      <c r="A16" s="16" t="s">
        <v>354</v>
      </c>
      <c r="B16" s="16" t="s">
        <v>355</v>
      </c>
      <c r="C16" s="16" t="s">
        <v>356</v>
      </c>
      <c r="D16" s="16" t="s">
        <v>357</v>
      </c>
      <c r="E16" s="17" t="s">
        <v>358</v>
      </c>
      <c r="F16" s="16" t="s">
        <v>8</v>
      </c>
      <c r="G16" s="18"/>
      <c r="H16" s="16" t="s">
        <v>41</v>
      </c>
    </row>
    <row r="17">
      <c r="A17" s="16" t="s">
        <v>359</v>
      </c>
      <c r="B17" s="16" t="s">
        <v>360</v>
      </c>
      <c r="C17" s="16" t="s">
        <v>361</v>
      </c>
      <c r="D17" s="16" t="s">
        <v>362</v>
      </c>
      <c r="E17" s="17" t="s">
        <v>363</v>
      </c>
      <c r="F17" s="16" t="s">
        <v>6</v>
      </c>
      <c r="G17" s="18"/>
      <c r="H17" s="16" t="s">
        <v>23</v>
      </c>
    </row>
    <row r="18">
      <c r="A18" s="16" t="s">
        <v>364</v>
      </c>
      <c r="B18" s="16" t="s">
        <v>365</v>
      </c>
      <c r="C18" s="16" t="s">
        <v>366</v>
      </c>
      <c r="D18" s="16" t="s">
        <v>367</v>
      </c>
      <c r="E18" s="17" t="s">
        <v>368</v>
      </c>
      <c r="F18" s="16" t="s">
        <v>6</v>
      </c>
      <c r="G18" s="18"/>
      <c r="H18" s="16" t="s">
        <v>23</v>
      </c>
    </row>
    <row r="19">
      <c r="A19" s="16" t="s">
        <v>369</v>
      </c>
      <c r="B19" s="16" t="s">
        <v>370</v>
      </c>
      <c r="C19" s="16" t="s">
        <v>371</v>
      </c>
      <c r="D19" s="16" t="s">
        <v>372</v>
      </c>
      <c r="E19" s="17" t="s">
        <v>334</v>
      </c>
      <c r="F19" s="16" t="s">
        <v>6</v>
      </c>
      <c r="G19" s="18"/>
      <c r="H19" s="16" t="s">
        <v>23</v>
      </c>
    </row>
    <row r="20">
      <c r="A20" s="16" t="s">
        <v>373</v>
      </c>
      <c r="B20" s="16" t="s">
        <v>374</v>
      </c>
      <c r="C20" s="16" t="s">
        <v>375</v>
      </c>
      <c r="D20" s="16" t="s">
        <v>169</v>
      </c>
      <c r="E20" s="17" t="s">
        <v>376</v>
      </c>
      <c r="F20" s="16" t="s">
        <v>6</v>
      </c>
      <c r="G20" s="18"/>
      <c r="H20" s="16" t="s">
        <v>23</v>
      </c>
    </row>
    <row r="21">
      <c r="A21" s="16" t="s">
        <v>377</v>
      </c>
      <c r="B21" s="16" t="s">
        <v>378</v>
      </c>
      <c r="C21" s="16" t="s">
        <v>379</v>
      </c>
      <c r="D21" s="16" t="s">
        <v>380</v>
      </c>
      <c r="E21" s="17" t="s">
        <v>381</v>
      </c>
      <c r="F21" s="16" t="s">
        <v>6</v>
      </c>
      <c r="G21" s="18"/>
      <c r="H21" s="16" t="s">
        <v>23</v>
      </c>
    </row>
    <row r="22">
      <c r="A22" s="16" t="s">
        <v>382</v>
      </c>
      <c r="B22" s="16" t="s">
        <v>383</v>
      </c>
      <c r="C22" s="16" t="s">
        <v>384</v>
      </c>
      <c r="D22" s="16" t="s">
        <v>385</v>
      </c>
      <c r="E22" s="17" t="s">
        <v>386</v>
      </c>
      <c r="F22" s="16" t="s">
        <v>6</v>
      </c>
      <c r="G22" s="18"/>
      <c r="H22" s="16" t="s">
        <v>160</v>
      </c>
    </row>
    <row r="23">
      <c r="A23" s="16" t="s">
        <v>387</v>
      </c>
      <c r="B23" s="16" t="s">
        <v>388</v>
      </c>
      <c r="C23" s="16" t="s">
        <v>389</v>
      </c>
      <c r="D23" s="16" t="s">
        <v>390</v>
      </c>
      <c r="E23" s="17" t="s">
        <v>391</v>
      </c>
      <c r="F23" s="16" t="s">
        <v>6</v>
      </c>
      <c r="G23" s="18"/>
      <c r="H23" s="16" t="s">
        <v>154</v>
      </c>
    </row>
    <row r="24">
      <c r="A24" s="16" t="s">
        <v>392</v>
      </c>
      <c r="B24" s="16" t="s">
        <v>393</v>
      </c>
      <c r="C24" s="16" t="s">
        <v>394</v>
      </c>
      <c r="D24" s="16" t="s">
        <v>395</v>
      </c>
      <c r="E24" s="17" t="s">
        <v>396</v>
      </c>
      <c r="F24" s="16" t="s">
        <v>7</v>
      </c>
      <c r="G24" s="18"/>
      <c r="H24" s="16" t="s">
        <v>397</v>
      </c>
    </row>
    <row r="25">
      <c r="A25" s="16" t="s">
        <v>398</v>
      </c>
      <c r="B25" s="16" t="s">
        <v>399</v>
      </c>
      <c r="C25" s="16" t="s">
        <v>400</v>
      </c>
      <c r="D25" s="16" t="s">
        <v>401</v>
      </c>
      <c r="E25" s="17" t="s">
        <v>159</v>
      </c>
      <c r="F25" s="16" t="s">
        <v>7</v>
      </c>
      <c r="G25" s="18"/>
      <c r="H25" s="16" t="s">
        <v>402</v>
      </c>
    </row>
    <row r="26">
      <c r="A26" s="16" t="s">
        <v>403</v>
      </c>
      <c r="B26" s="16" t="s">
        <v>404</v>
      </c>
      <c r="C26" s="16" t="s">
        <v>405</v>
      </c>
      <c r="D26" s="16" t="s">
        <v>406</v>
      </c>
      <c r="E26" s="17" t="s">
        <v>407</v>
      </c>
      <c r="F26" s="16" t="s">
        <v>7</v>
      </c>
      <c r="G26" s="18"/>
      <c r="H26" s="16" t="s">
        <v>402</v>
      </c>
    </row>
    <row r="27">
      <c r="A27" s="16" t="s">
        <v>408</v>
      </c>
      <c r="B27" s="16" t="s">
        <v>409</v>
      </c>
      <c r="C27" s="16" t="s">
        <v>410</v>
      </c>
      <c r="D27" s="16" t="s">
        <v>411</v>
      </c>
      <c r="E27" s="17" t="s">
        <v>412</v>
      </c>
      <c r="F27" s="16" t="s">
        <v>6</v>
      </c>
      <c r="G27" s="18"/>
      <c r="H27" s="16" t="s">
        <v>160</v>
      </c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34">
      <formula1>Support!$A$4:$D$4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COUNTIF(F8:F877,"Pass")</f>
        <v>6</v>
      </c>
      <c r="B5" s="10">
        <f>COUNTIF(F8:F877,"Fail")</f>
        <v>1</v>
      </c>
      <c r="C5" s="10">
        <f>E5-D5-B5-A5</f>
        <v>3</v>
      </c>
      <c r="D5" s="10">
        <f>COUNTIF(F$8:F$877,"N/A")</f>
        <v>0</v>
      </c>
      <c r="E5" s="11">
        <f>COUNTA(A8:A91)
</f>
        <v>10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413</v>
      </c>
      <c r="B8" s="16" t="s">
        <v>414</v>
      </c>
      <c r="C8" s="16" t="s">
        <v>415</v>
      </c>
      <c r="D8" s="16" t="s">
        <v>416</v>
      </c>
      <c r="E8" s="17" t="s">
        <v>417</v>
      </c>
      <c r="F8" s="16" t="s">
        <v>6</v>
      </c>
      <c r="G8" s="18"/>
      <c r="H8" s="16" t="s">
        <v>255</v>
      </c>
    </row>
    <row r="9">
      <c r="A9" s="16" t="s">
        <v>418</v>
      </c>
      <c r="B9" s="16" t="s">
        <v>419</v>
      </c>
      <c r="C9" s="16" t="s">
        <v>420</v>
      </c>
      <c r="D9" s="16" t="s">
        <v>421</v>
      </c>
      <c r="E9" s="17" t="s">
        <v>417</v>
      </c>
      <c r="F9" s="16" t="s">
        <v>6</v>
      </c>
      <c r="G9" s="18"/>
      <c r="H9" s="16" t="s">
        <v>23</v>
      </c>
    </row>
    <row r="10">
      <c r="A10" s="16" t="s">
        <v>422</v>
      </c>
      <c r="B10" s="16" t="s">
        <v>423</v>
      </c>
      <c r="C10" s="16" t="s">
        <v>424</v>
      </c>
      <c r="D10" s="16" t="s">
        <v>425</v>
      </c>
      <c r="E10" s="17"/>
      <c r="F10" s="16" t="s">
        <v>6</v>
      </c>
      <c r="G10" s="18"/>
      <c r="H10" s="16" t="s">
        <v>23</v>
      </c>
    </row>
    <row r="11">
      <c r="A11" s="16" t="s">
        <v>426</v>
      </c>
      <c r="B11" s="16" t="s">
        <v>427</v>
      </c>
      <c r="C11" s="16" t="s">
        <v>428</v>
      </c>
      <c r="D11" s="16" t="s">
        <v>429</v>
      </c>
      <c r="E11" s="17" t="s">
        <v>131</v>
      </c>
      <c r="F11" s="16" t="s">
        <v>6</v>
      </c>
      <c r="G11" s="18"/>
      <c r="H11" s="16" t="s">
        <v>23</v>
      </c>
    </row>
    <row r="12">
      <c r="A12" s="16" t="s">
        <v>430</v>
      </c>
      <c r="B12" s="16" t="s">
        <v>431</v>
      </c>
      <c r="C12" s="16" t="s">
        <v>432</v>
      </c>
      <c r="D12" s="16" t="s">
        <v>433</v>
      </c>
      <c r="E12" s="17" t="s">
        <v>417</v>
      </c>
      <c r="F12" s="16" t="s">
        <v>6</v>
      </c>
      <c r="G12" s="18"/>
      <c r="H12" s="16" t="s">
        <v>23</v>
      </c>
    </row>
    <row r="13">
      <c r="A13" s="16" t="s">
        <v>434</v>
      </c>
      <c r="B13" s="16" t="s">
        <v>435</v>
      </c>
      <c r="C13" s="16" t="s">
        <v>436</v>
      </c>
      <c r="D13" s="16" t="s">
        <v>437</v>
      </c>
      <c r="E13" s="17"/>
      <c r="F13" s="16" t="s">
        <v>8</v>
      </c>
      <c r="G13" s="18"/>
      <c r="H13" s="16" t="s">
        <v>154</v>
      </c>
    </row>
    <row r="14">
      <c r="A14" s="16" t="s">
        <v>438</v>
      </c>
      <c r="B14" s="16" t="s">
        <v>439</v>
      </c>
      <c r="C14" s="16" t="s">
        <v>440</v>
      </c>
      <c r="D14" s="16" t="s">
        <v>441</v>
      </c>
      <c r="E14" s="17"/>
      <c r="F14" s="16" t="s">
        <v>8</v>
      </c>
      <c r="G14" s="18"/>
      <c r="H14" s="16" t="s">
        <v>154</v>
      </c>
    </row>
    <row r="15">
      <c r="A15" s="16" t="s">
        <v>442</v>
      </c>
      <c r="B15" s="16" t="s">
        <v>443</v>
      </c>
      <c r="C15" s="16" t="s">
        <v>444</v>
      </c>
      <c r="D15" s="16" t="s">
        <v>445</v>
      </c>
      <c r="E15" s="17" t="s">
        <v>446</v>
      </c>
      <c r="F15" s="16" t="s">
        <v>8</v>
      </c>
      <c r="G15" s="18"/>
      <c r="H15" s="16" t="s">
        <v>107</v>
      </c>
    </row>
    <row r="16">
      <c r="A16" s="16" t="s">
        <v>447</v>
      </c>
      <c r="B16" s="16" t="s">
        <v>448</v>
      </c>
      <c r="C16" s="16" t="s">
        <v>449</v>
      </c>
      <c r="D16" s="16" t="s">
        <v>450</v>
      </c>
      <c r="E16" s="17" t="s">
        <v>451</v>
      </c>
      <c r="F16" s="16" t="s">
        <v>7</v>
      </c>
      <c r="G16" s="18"/>
      <c r="H16" s="16" t="s">
        <v>452</v>
      </c>
    </row>
    <row r="17">
      <c r="A17" s="16" t="s">
        <v>453</v>
      </c>
      <c r="B17" s="16" t="s">
        <v>454</v>
      </c>
      <c r="C17" s="16" t="s">
        <v>455</v>
      </c>
      <c r="D17" s="16" t="s">
        <v>456</v>
      </c>
      <c r="E17" s="17" t="s">
        <v>131</v>
      </c>
      <c r="F17" s="16" t="s">
        <v>6</v>
      </c>
      <c r="G17" s="18"/>
      <c r="H17" s="16" t="s">
        <v>23</v>
      </c>
    </row>
    <row r="18" ht="12.75" customHeight="1">
      <c r="A18" s="6"/>
      <c r="B18" s="6"/>
      <c r="C18" s="6"/>
      <c r="D18" s="6"/>
      <c r="E18" s="6"/>
      <c r="F18" s="6"/>
      <c r="G18" s="6"/>
      <c r="H18" s="6"/>
    </row>
    <row r="19" ht="12.75" customHeight="1">
      <c r="A19" s="6"/>
      <c r="B19" s="6"/>
      <c r="C19" s="6"/>
      <c r="D19" s="6"/>
      <c r="E19" s="6"/>
      <c r="F19" s="6"/>
      <c r="G19" s="6"/>
      <c r="H19" s="6"/>
    </row>
    <row r="20" ht="12.75" customHeight="1">
      <c r="A20" s="6"/>
      <c r="B20" s="6"/>
      <c r="C20" s="6"/>
      <c r="D20" s="6"/>
      <c r="E20" s="6"/>
      <c r="F20" s="6"/>
      <c r="G20" s="6"/>
      <c r="H20" s="6"/>
    </row>
    <row r="21" ht="12.75" customHeight="1">
      <c r="A21" s="6"/>
      <c r="B21" s="6"/>
      <c r="C21" s="6"/>
      <c r="D21" s="6"/>
      <c r="E21" s="6"/>
      <c r="F21" s="6"/>
      <c r="G21" s="6"/>
      <c r="H21" s="6"/>
    </row>
    <row r="22" ht="12.75" customHeight="1">
      <c r="A22" s="6"/>
      <c r="B22" s="6"/>
      <c r="C22" s="6"/>
      <c r="D22" s="6"/>
      <c r="E22" s="6"/>
      <c r="F22" s="6"/>
      <c r="G22" s="6"/>
      <c r="H22" s="6"/>
    </row>
    <row r="23" ht="12.75" customHeight="1">
      <c r="A23" s="6"/>
      <c r="B23" s="6"/>
      <c r="C23" s="6"/>
      <c r="D23" s="6"/>
      <c r="E23" s="6"/>
      <c r="F23" s="6"/>
      <c r="G23" s="6"/>
      <c r="H23" s="6"/>
    </row>
    <row r="24" ht="12.75" customHeight="1">
      <c r="A24" s="6"/>
      <c r="B24" s="6"/>
      <c r="C24" s="6"/>
      <c r="D24" s="6"/>
      <c r="E24" s="6"/>
      <c r="F24" s="6"/>
      <c r="G24" s="6"/>
      <c r="H24" s="6"/>
    </row>
    <row r="25" ht="12.75" customHeight="1">
      <c r="A25" s="6"/>
      <c r="B25" s="6"/>
      <c r="C25" s="6"/>
      <c r="D25" s="6"/>
      <c r="E25" s="6"/>
      <c r="F25" s="6"/>
      <c r="G25" s="6"/>
      <c r="H25" s="6"/>
    </row>
    <row r="26" ht="12.75" customHeight="1">
      <c r="A26" s="6"/>
      <c r="B26" s="6"/>
      <c r="C26" s="6"/>
      <c r="D26" s="6"/>
      <c r="E26" s="6"/>
      <c r="F26" s="6"/>
      <c r="G26" s="6"/>
      <c r="H26" s="6"/>
    </row>
    <row r="27" ht="12.75" customHeight="1">
      <c r="A27" s="6"/>
      <c r="B27" s="6"/>
      <c r="C27" s="6"/>
      <c r="D27" s="6"/>
      <c r="E27" s="6"/>
      <c r="F27" s="6"/>
      <c r="G27" s="6"/>
      <c r="H27" s="6"/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24">
      <formula1>Notification!$A$4:$D$4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COUNTIF(F8:F877,"Pass")</f>
        <v>9</v>
      </c>
      <c r="B5" s="10">
        <f>COUNTIF(F8:F877,"Fail")</f>
        <v>1</v>
      </c>
      <c r="C5" s="10">
        <f>E5-D5-B5-A5</f>
        <v>0</v>
      </c>
      <c r="D5" s="10">
        <f>COUNTIF(F$8:F$877,"N/A")</f>
        <v>0</v>
      </c>
      <c r="E5" s="11">
        <f>COUNTA(A8:A91)
</f>
        <v>10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457</v>
      </c>
      <c r="B8" s="16" t="s">
        <v>458</v>
      </c>
      <c r="C8" s="16" t="s">
        <v>459</v>
      </c>
      <c r="D8" s="16" t="s">
        <v>460</v>
      </c>
      <c r="E8" s="17" t="s">
        <v>159</v>
      </c>
      <c r="F8" s="16" t="s">
        <v>6</v>
      </c>
      <c r="G8" s="18"/>
      <c r="H8" s="16" t="s">
        <v>107</v>
      </c>
    </row>
    <row r="9">
      <c r="A9" s="16" t="s">
        <v>461</v>
      </c>
      <c r="B9" s="16" t="s">
        <v>462</v>
      </c>
      <c r="C9" s="16" t="s">
        <v>463</v>
      </c>
      <c r="D9" s="16" t="s">
        <v>464</v>
      </c>
      <c r="E9" s="17" t="s">
        <v>465</v>
      </c>
      <c r="F9" s="16" t="s">
        <v>6</v>
      </c>
      <c r="G9" s="18"/>
      <c r="H9" s="16" t="s">
        <v>107</v>
      </c>
    </row>
    <row r="10">
      <c r="A10" s="16" t="s">
        <v>466</v>
      </c>
      <c r="B10" s="16" t="s">
        <v>467</v>
      </c>
      <c r="C10" s="16" t="s">
        <v>468</v>
      </c>
      <c r="D10" s="16" t="s">
        <v>469</v>
      </c>
      <c r="E10" s="17" t="s">
        <v>92</v>
      </c>
      <c r="F10" s="16" t="s">
        <v>6</v>
      </c>
      <c r="G10" s="18"/>
      <c r="H10" s="16" t="s">
        <v>82</v>
      </c>
    </row>
    <row r="11">
      <c r="A11" s="16" t="s">
        <v>470</v>
      </c>
      <c r="B11" s="16" t="s">
        <v>471</v>
      </c>
      <c r="C11" s="16" t="s">
        <v>472</v>
      </c>
      <c r="D11" s="16" t="s">
        <v>473</v>
      </c>
      <c r="E11" s="17" t="s">
        <v>474</v>
      </c>
      <c r="F11" s="16" t="s">
        <v>6</v>
      </c>
      <c r="G11" s="18"/>
      <c r="H11" s="16" t="s">
        <v>107</v>
      </c>
    </row>
    <row r="12">
      <c r="A12" s="16" t="s">
        <v>475</v>
      </c>
      <c r="B12" s="16" t="s">
        <v>476</v>
      </c>
      <c r="C12" s="16" t="s">
        <v>477</v>
      </c>
      <c r="D12" s="16" t="s">
        <v>478</v>
      </c>
      <c r="E12" s="17" t="s">
        <v>479</v>
      </c>
      <c r="F12" s="16" t="s">
        <v>6</v>
      </c>
      <c r="G12" s="18"/>
      <c r="H12" s="16" t="s">
        <v>107</v>
      </c>
    </row>
    <row r="13">
      <c r="A13" s="16" t="s">
        <v>480</v>
      </c>
      <c r="B13" s="16" t="s">
        <v>481</v>
      </c>
      <c r="C13" s="16" t="s">
        <v>482</v>
      </c>
      <c r="D13" s="16" t="s">
        <v>483</v>
      </c>
      <c r="E13" s="17" t="s">
        <v>484</v>
      </c>
      <c r="F13" s="16" t="s">
        <v>6</v>
      </c>
      <c r="G13" s="18"/>
      <c r="H13" s="16" t="s">
        <v>107</v>
      </c>
    </row>
    <row r="14">
      <c r="A14" s="16" t="s">
        <v>485</v>
      </c>
      <c r="B14" s="16" t="s">
        <v>486</v>
      </c>
      <c r="C14" s="16" t="s">
        <v>487</v>
      </c>
      <c r="D14" s="16" t="s">
        <v>488</v>
      </c>
      <c r="E14" s="17" t="s">
        <v>489</v>
      </c>
      <c r="F14" s="16" t="s">
        <v>7</v>
      </c>
      <c r="G14" s="18"/>
      <c r="H14" s="16" t="s">
        <v>452</v>
      </c>
    </row>
    <row r="15">
      <c r="A15" s="16" t="s">
        <v>490</v>
      </c>
      <c r="B15" s="16" t="s">
        <v>491</v>
      </c>
      <c r="C15" s="16" t="s">
        <v>492</v>
      </c>
      <c r="D15" s="16" t="s">
        <v>493</v>
      </c>
      <c r="E15" s="17" t="s">
        <v>494</v>
      </c>
      <c r="F15" s="16" t="s">
        <v>6</v>
      </c>
      <c r="G15" s="18"/>
      <c r="H15" s="16" t="s">
        <v>107</v>
      </c>
    </row>
    <row r="16">
      <c r="A16" s="16" t="s">
        <v>495</v>
      </c>
      <c r="B16" s="16" t="s">
        <v>496</v>
      </c>
      <c r="C16" s="16" t="s">
        <v>497</v>
      </c>
      <c r="D16" s="16" t="s">
        <v>498</v>
      </c>
      <c r="E16" s="17" t="s">
        <v>499</v>
      </c>
      <c r="F16" s="16" t="s">
        <v>6</v>
      </c>
      <c r="G16" s="18"/>
      <c r="H16" s="16" t="s">
        <v>107</v>
      </c>
    </row>
    <row r="17">
      <c r="A17" s="16" t="s">
        <v>500</v>
      </c>
      <c r="B17" s="16" t="s">
        <v>501</v>
      </c>
      <c r="C17" s="16" t="s">
        <v>502</v>
      </c>
      <c r="D17" s="16" t="s">
        <v>503</v>
      </c>
      <c r="E17" s="17" t="s">
        <v>504</v>
      </c>
      <c r="F17" s="16" t="s">
        <v>6</v>
      </c>
      <c r="G17" s="18"/>
      <c r="H17" s="16" t="s">
        <v>107</v>
      </c>
    </row>
    <row r="18" ht="12.75" customHeight="1">
      <c r="A18" s="6"/>
      <c r="B18" s="6"/>
      <c r="C18" s="6"/>
      <c r="D18" s="6"/>
      <c r="E18" s="6"/>
      <c r="F18" s="6"/>
      <c r="G18" s="6"/>
      <c r="H18" s="6"/>
    </row>
    <row r="19" ht="12.75" customHeight="1">
      <c r="A19" s="6"/>
      <c r="B19" s="6"/>
      <c r="C19" s="6"/>
      <c r="D19" s="6"/>
      <c r="E19" s="6"/>
      <c r="F19" s="6"/>
      <c r="G19" s="6"/>
      <c r="H19" s="6"/>
    </row>
    <row r="20" ht="12.75" customHeight="1">
      <c r="A20" s="6"/>
      <c r="B20" s="6"/>
      <c r="C20" s="6"/>
      <c r="D20" s="6"/>
      <c r="E20" s="6"/>
      <c r="F20" s="6"/>
      <c r="G20" s="6"/>
      <c r="H20" s="6"/>
    </row>
    <row r="21" ht="12.75" customHeight="1">
      <c r="A21" s="6"/>
      <c r="B21" s="6"/>
      <c r="C21" s="6"/>
      <c r="D21" s="6"/>
      <c r="E21" s="6"/>
      <c r="F21" s="6"/>
      <c r="G21" s="6"/>
      <c r="H21" s="6"/>
    </row>
    <row r="22" ht="12.75" customHeight="1">
      <c r="A22" s="6"/>
      <c r="B22" s="6"/>
      <c r="C22" s="6"/>
      <c r="D22" s="6"/>
      <c r="E22" s="6"/>
      <c r="F22" s="6"/>
      <c r="G22" s="6"/>
      <c r="H22" s="6"/>
    </row>
    <row r="23" ht="12.75" customHeight="1">
      <c r="A23" s="6"/>
      <c r="B23" s="6"/>
      <c r="C23" s="6"/>
      <c r="D23" s="6"/>
      <c r="E23" s="6"/>
      <c r="F23" s="6"/>
      <c r="G23" s="6"/>
      <c r="H23" s="6"/>
    </row>
    <row r="24" ht="12.75" customHeight="1">
      <c r="A24" s="6"/>
      <c r="B24" s="6"/>
      <c r="C24" s="6"/>
      <c r="D24" s="6"/>
      <c r="E24" s="6"/>
      <c r="F24" s="6"/>
      <c r="G24" s="6"/>
      <c r="H24" s="6"/>
    </row>
    <row r="25" ht="12.75" customHeight="1">
      <c r="A25" s="6"/>
      <c r="B25" s="6"/>
      <c r="C25" s="6"/>
      <c r="D25" s="6"/>
      <c r="E25" s="6"/>
      <c r="F25" s="6"/>
      <c r="G25" s="6"/>
      <c r="H25" s="6"/>
    </row>
    <row r="26" ht="12.75" customHeight="1">
      <c r="A26" s="6"/>
      <c r="B26" s="6"/>
      <c r="C26" s="6"/>
      <c r="D26" s="6"/>
      <c r="E26" s="6"/>
      <c r="F26" s="6"/>
      <c r="G26" s="6"/>
      <c r="H26" s="6"/>
    </row>
    <row r="27" ht="12.75" customHeight="1">
      <c r="A27" s="6"/>
      <c r="B27" s="6"/>
      <c r="C27" s="6"/>
      <c r="D27" s="6"/>
      <c r="E27" s="6"/>
      <c r="F27" s="6"/>
      <c r="G27" s="6"/>
      <c r="H27" s="6"/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24">
      <formula1>UI!$A$4:$D$4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4.13"/>
    <col customWidth="1" min="2" max="2" width="25.13"/>
    <col customWidth="1" min="3" max="3" width="34.25"/>
    <col customWidth="1" min="4" max="4" width="38.25"/>
    <col customWidth="1" min="5" max="5" width="29.75"/>
    <col customWidth="1" min="6" max="6" width="17.25"/>
    <col customWidth="1" min="7" max="7" width="27.38"/>
    <col customWidth="1" min="8" max="8" width="19.88"/>
  </cols>
  <sheetData>
    <row r="1" ht="15.0" customHeight="1">
      <c r="A1" s="1" t="s">
        <v>0</v>
      </c>
      <c r="B1" s="2" t="s">
        <v>1</v>
      </c>
      <c r="C1" s="3"/>
      <c r="D1" s="3"/>
      <c r="E1" s="4"/>
      <c r="F1" s="5"/>
      <c r="G1" s="6"/>
      <c r="H1" s="6"/>
    </row>
    <row r="2">
      <c r="A2" s="1" t="s">
        <v>2</v>
      </c>
      <c r="B2" s="2" t="s">
        <v>3</v>
      </c>
      <c r="C2" s="3"/>
      <c r="D2" s="3"/>
      <c r="E2" s="4"/>
      <c r="F2" s="5"/>
      <c r="G2" s="6"/>
      <c r="H2" s="6"/>
    </row>
    <row r="3" ht="18.0" customHeight="1">
      <c r="A3" s="1" t="s">
        <v>4</v>
      </c>
      <c r="B3" s="2" t="s">
        <v>5</v>
      </c>
      <c r="C3" s="3"/>
      <c r="D3" s="3"/>
      <c r="E3" s="3"/>
      <c r="F3" s="4"/>
      <c r="G3" s="6"/>
      <c r="H3" s="6"/>
    </row>
    <row r="4" ht="19.5" customHeight="1">
      <c r="A4" s="7" t="s">
        <v>6</v>
      </c>
      <c r="B4" s="7" t="s">
        <v>7</v>
      </c>
      <c r="C4" s="7" t="s">
        <v>8</v>
      </c>
      <c r="D4" s="7" t="s">
        <v>9</v>
      </c>
      <c r="E4" s="8" t="s">
        <v>10</v>
      </c>
      <c r="F4" s="4"/>
      <c r="G4" s="9"/>
      <c r="H4" s="9"/>
    </row>
    <row r="5" ht="15.0" customHeight="1">
      <c r="A5" s="10">
        <f>COUNTIF(F8:F875,"Pass")</f>
        <v>5</v>
      </c>
      <c r="B5" s="10">
        <f>COUNTIF(F8:F875,"Fail")</f>
        <v>0</v>
      </c>
      <c r="C5" s="10">
        <f>E5-D5-B5-A5</f>
        <v>3</v>
      </c>
      <c r="D5" s="10">
        <f>COUNTIF(F$8:F$875,"N/A")</f>
        <v>0</v>
      </c>
      <c r="E5" s="11">
        <f>COUNTA(A8:A89)
</f>
        <v>8</v>
      </c>
      <c r="F5" s="4"/>
      <c r="G5" s="9"/>
      <c r="H5" s="9"/>
    </row>
    <row r="6" ht="15.0" customHeight="1">
      <c r="A6" s="12"/>
      <c r="B6" s="12"/>
      <c r="C6" s="12"/>
      <c r="D6" s="13"/>
      <c r="E6" s="13"/>
      <c r="F6" s="9"/>
      <c r="G6" s="9"/>
      <c r="H6" s="9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15</v>
      </c>
      <c r="H7" s="15" t="s">
        <v>17</v>
      </c>
    </row>
    <row r="8">
      <c r="A8" s="16" t="s">
        <v>505</v>
      </c>
      <c r="B8" s="16" t="s">
        <v>506</v>
      </c>
      <c r="C8" s="16" t="s">
        <v>507</v>
      </c>
      <c r="D8" s="16" t="s">
        <v>508</v>
      </c>
      <c r="E8" s="17" t="s">
        <v>509</v>
      </c>
      <c r="F8" s="16" t="s">
        <v>6</v>
      </c>
      <c r="G8" s="18"/>
      <c r="H8" s="16" t="s">
        <v>154</v>
      </c>
    </row>
    <row r="9">
      <c r="A9" s="16" t="s">
        <v>510</v>
      </c>
      <c r="B9" s="16" t="s">
        <v>511</v>
      </c>
      <c r="C9" s="16" t="s">
        <v>512</v>
      </c>
      <c r="D9" s="16" t="s">
        <v>513</v>
      </c>
      <c r="E9" s="17" t="s">
        <v>509</v>
      </c>
      <c r="F9" s="16" t="s">
        <v>6</v>
      </c>
      <c r="G9" s="18"/>
      <c r="H9" s="16" t="s">
        <v>154</v>
      </c>
    </row>
    <row r="10">
      <c r="A10" s="16" t="s">
        <v>514</v>
      </c>
      <c r="B10" s="16" t="s">
        <v>515</v>
      </c>
      <c r="C10" s="16" t="s">
        <v>516</v>
      </c>
      <c r="D10" s="16" t="s">
        <v>517</v>
      </c>
      <c r="E10" s="17" t="s">
        <v>518</v>
      </c>
      <c r="F10" s="16" t="s">
        <v>6</v>
      </c>
      <c r="G10" s="18"/>
      <c r="H10" s="16" t="s">
        <v>154</v>
      </c>
    </row>
    <row r="11">
      <c r="A11" s="16" t="s">
        <v>519</v>
      </c>
      <c r="B11" s="16" t="s">
        <v>520</v>
      </c>
      <c r="C11" s="16" t="s">
        <v>521</v>
      </c>
      <c r="D11" s="16" t="s">
        <v>522</v>
      </c>
      <c r="E11" s="17" t="s">
        <v>523</v>
      </c>
      <c r="F11" s="16" t="s">
        <v>6</v>
      </c>
      <c r="G11" s="18"/>
      <c r="H11" s="16" t="s">
        <v>154</v>
      </c>
    </row>
    <row r="12">
      <c r="A12" s="16" t="s">
        <v>524</v>
      </c>
      <c r="B12" s="16" t="s">
        <v>525</v>
      </c>
      <c r="C12" s="16" t="s">
        <v>526</v>
      </c>
      <c r="D12" s="16" t="s">
        <v>527</v>
      </c>
      <c r="E12" s="17" t="s">
        <v>528</v>
      </c>
      <c r="F12" s="16" t="s">
        <v>8</v>
      </c>
      <c r="G12" s="18"/>
      <c r="H12" s="16" t="s">
        <v>154</v>
      </c>
    </row>
    <row r="13">
      <c r="A13" s="16" t="s">
        <v>529</v>
      </c>
      <c r="B13" s="16" t="s">
        <v>530</v>
      </c>
      <c r="C13" s="16" t="s">
        <v>531</v>
      </c>
      <c r="D13" s="16" t="s">
        <v>532</v>
      </c>
      <c r="E13" s="17" t="s">
        <v>533</v>
      </c>
      <c r="F13" s="16" t="s">
        <v>8</v>
      </c>
      <c r="G13" s="18"/>
      <c r="H13" s="16" t="s">
        <v>154</v>
      </c>
    </row>
    <row r="14">
      <c r="A14" s="16" t="s">
        <v>534</v>
      </c>
      <c r="B14" s="16" t="s">
        <v>535</v>
      </c>
      <c r="C14" s="16" t="s">
        <v>536</v>
      </c>
      <c r="D14" s="16" t="s">
        <v>537</v>
      </c>
      <c r="E14" s="17" t="s">
        <v>533</v>
      </c>
      <c r="F14" s="16" t="s">
        <v>8</v>
      </c>
      <c r="G14" s="18"/>
      <c r="H14" s="16" t="s">
        <v>154</v>
      </c>
    </row>
    <row r="15">
      <c r="A15" s="16" t="s">
        <v>538</v>
      </c>
      <c r="B15" s="16" t="s">
        <v>539</v>
      </c>
      <c r="C15" s="16" t="s">
        <v>540</v>
      </c>
      <c r="D15" s="16" t="s">
        <v>541</v>
      </c>
      <c r="E15" s="17" t="s">
        <v>542</v>
      </c>
      <c r="F15" s="16" t="s">
        <v>6</v>
      </c>
      <c r="G15" s="18"/>
      <c r="H15" s="16" t="s">
        <v>154</v>
      </c>
    </row>
    <row r="16" ht="12.75" customHeight="1">
      <c r="A16" s="6"/>
      <c r="B16" s="6"/>
      <c r="C16" s="6"/>
      <c r="D16" s="6"/>
      <c r="E16" s="6"/>
      <c r="F16" s="6"/>
      <c r="G16" s="6"/>
      <c r="H16" s="6"/>
    </row>
    <row r="17" ht="12.75" customHeight="1">
      <c r="A17" s="6"/>
      <c r="B17" s="6"/>
      <c r="C17" s="6"/>
      <c r="D17" s="6"/>
      <c r="E17" s="6"/>
      <c r="F17" s="6"/>
      <c r="G17" s="6"/>
      <c r="H17" s="6"/>
    </row>
    <row r="18" ht="12.75" customHeight="1">
      <c r="A18" s="6"/>
      <c r="B18" s="6"/>
      <c r="C18" s="6"/>
      <c r="D18" s="6"/>
      <c r="E18" s="6"/>
      <c r="F18" s="6"/>
      <c r="G18" s="6"/>
      <c r="H18" s="6"/>
    </row>
    <row r="19" ht="12.75" customHeight="1">
      <c r="A19" s="6"/>
      <c r="B19" s="6"/>
      <c r="C19" s="6"/>
      <c r="D19" s="6"/>
      <c r="E19" s="6"/>
      <c r="F19" s="6"/>
      <c r="G19" s="6"/>
      <c r="H19" s="6"/>
    </row>
    <row r="20" ht="12.75" customHeight="1">
      <c r="A20" s="6"/>
      <c r="B20" s="6"/>
      <c r="C20" s="6"/>
      <c r="D20" s="6"/>
      <c r="E20" s="6"/>
      <c r="F20" s="6"/>
      <c r="G20" s="6"/>
      <c r="H20" s="6"/>
    </row>
    <row r="21" ht="12.75" customHeight="1">
      <c r="A21" s="6"/>
      <c r="B21" s="6"/>
      <c r="C21" s="6"/>
      <c r="D21" s="6"/>
      <c r="E21" s="6"/>
      <c r="F21" s="6"/>
      <c r="G21" s="6"/>
      <c r="H21" s="6"/>
    </row>
    <row r="22" ht="12.75" customHeight="1">
      <c r="A22" s="6"/>
      <c r="B22" s="6"/>
      <c r="C22" s="6"/>
      <c r="D22" s="6"/>
      <c r="E22" s="6"/>
      <c r="F22" s="6"/>
      <c r="G22" s="6"/>
      <c r="H22" s="6"/>
    </row>
    <row r="23" ht="12.75" customHeight="1">
      <c r="A23" s="6"/>
      <c r="B23" s="6"/>
      <c r="C23" s="6"/>
      <c r="D23" s="6"/>
      <c r="E23" s="6"/>
      <c r="F23" s="6"/>
      <c r="G23" s="6"/>
      <c r="H23" s="6"/>
    </row>
    <row r="24" ht="12.75" customHeight="1">
      <c r="A24" s="6"/>
      <c r="B24" s="6"/>
      <c r="C24" s="6"/>
      <c r="D24" s="6"/>
      <c r="E24" s="6"/>
      <c r="F24" s="6"/>
      <c r="G24" s="6"/>
      <c r="H24" s="6"/>
    </row>
    <row r="25" ht="12.75" customHeight="1">
      <c r="A25" s="6"/>
      <c r="B25" s="6"/>
      <c r="C25" s="6"/>
      <c r="D25" s="6"/>
      <c r="E25" s="6"/>
      <c r="F25" s="6"/>
      <c r="G25" s="6"/>
      <c r="H25" s="6"/>
    </row>
    <row r="26" ht="12.75" customHeight="1">
      <c r="A26" s="6"/>
      <c r="B26" s="6"/>
      <c r="C26" s="6"/>
      <c r="D26" s="6"/>
      <c r="E26" s="6"/>
      <c r="F26" s="6"/>
      <c r="G26" s="6"/>
      <c r="H26" s="6"/>
    </row>
    <row r="27" ht="12.75" customHeight="1">
      <c r="A27" s="6"/>
      <c r="B27" s="6"/>
      <c r="C27" s="6"/>
      <c r="D27" s="6"/>
      <c r="E27" s="6"/>
      <c r="F27" s="6"/>
      <c r="G27" s="6"/>
      <c r="H27" s="6"/>
    </row>
    <row r="28" ht="12.75" customHeight="1">
      <c r="A28" s="6"/>
      <c r="B28" s="6"/>
      <c r="C28" s="6"/>
      <c r="D28" s="6"/>
      <c r="E28" s="6"/>
      <c r="F28" s="6"/>
      <c r="G28" s="6"/>
      <c r="H28" s="6"/>
    </row>
    <row r="29" ht="12.75" customHeight="1">
      <c r="A29" s="6"/>
      <c r="B29" s="6"/>
      <c r="C29" s="6"/>
      <c r="D29" s="6"/>
      <c r="E29" s="6"/>
      <c r="F29" s="6"/>
      <c r="G29" s="6"/>
      <c r="H29" s="6"/>
    </row>
    <row r="30" ht="12.75" customHeight="1">
      <c r="A30" s="6"/>
      <c r="B30" s="6"/>
      <c r="C30" s="6"/>
      <c r="D30" s="6"/>
      <c r="E30" s="6"/>
      <c r="F30" s="6"/>
      <c r="G30" s="6"/>
      <c r="H30" s="6"/>
    </row>
    <row r="31" ht="12.75" customHeight="1">
      <c r="A31" s="6"/>
      <c r="B31" s="6"/>
      <c r="C31" s="6"/>
      <c r="D31" s="6"/>
      <c r="E31" s="6"/>
      <c r="F31" s="6"/>
      <c r="G31" s="6"/>
      <c r="H31" s="6"/>
    </row>
    <row r="32" ht="12.75" customHeight="1">
      <c r="A32" s="6"/>
      <c r="B32" s="6"/>
      <c r="C32" s="6"/>
      <c r="D32" s="6"/>
      <c r="E32" s="6"/>
      <c r="F32" s="6"/>
      <c r="G32" s="6"/>
      <c r="H32" s="6"/>
    </row>
    <row r="33" ht="12.75" customHeight="1">
      <c r="A33" s="6"/>
      <c r="B33" s="6"/>
      <c r="C33" s="6"/>
      <c r="D33" s="6"/>
      <c r="E33" s="6"/>
      <c r="F33" s="6"/>
      <c r="G33" s="6"/>
      <c r="H33" s="6"/>
    </row>
    <row r="34" ht="12.75" customHeight="1">
      <c r="A34" s="6"/>
      <c r="B34" s="6"/>
      <c r="C34" s="6"/>
      <c r="D34" s="6"/>
      <c r="E34" s="6"/>
      <c r="F34" s="6"/>
      <c r="G34" s="6"/>
      <c r="H34" s="6"/>
    </row>
    <row r="35" ht="12.75" customHeight="1">
      <c r="A35" s="6"/>
      <c r="B35" s="6"/>
      <c r="C35" s="6"/>
      <c r="D35" s="6"/>
      <c r="E35" s="6"/>
      <c r="F35" s="6"/>
      <c r="G35" s="6"/>
      <c r="H35" s="6"/>
    </row>
    <row r="36" ht="12.75" customHeight="1">
      <c r="A36" s="6"/>
      <c r="B36" s="6"/>
      <c r="C36" s="6"/>
      <c r="D36" s="6"/>
      <c r="E36" s="6"/>
      <c r="F36" s="6"/>
      <c r="G36" s="6"/>
      <c r="H36" s="6"/>
    </row>
    <row r="37" ht="12.75" customHeight="1">
      <c r="A37" s="6"/>
      <c r="B37" s="6"/>
      <c r="C37" s="6"/>
      <c r="D37" s="6"/>
      <c r="E37" s="6"/>
      <c r="F37" s="6"/>
      <c r="G37" s="6"/>
      <c r="H37" s="6"/>
    </row>
    <row r="38" ht="12.75" customHeight="1">
      <c r="A38" s="6"/>
      <c r="B38" s="6"/>
      <c r="C38" s="6"/>
      <c r="D38" s="6"/>
      <c r="E38" s="6"/>
      <c r="F38" s="6"/>
      <c r="G38" s="6"/>
      <c r="H38" s="6"/>
    </row>
    <row r="39" ht="12.75" customHeight="1">
      <c r="A39" s="6"/>
      <c r="B39" s="6"/>
      <c r="C39" s="6"/>
      <c r="D39" s="6"/>
      <c r="E39" s="6"/>
      <c r="F39" s="6"/>
      <c r="G39" s="6"/>
      <c r="H39" s="6"/>
    </row>
    <row r="40" ht="12.75" customHeight="1">
      <c r="A40" s="6"/>
      <c r="B40" s="6"/>
      <c r="C40" s="6"/>
      <c r="D40" s="6"/>
      <c r="E40" s="6"/>
      <c r="F40" s="6"/>
      <c r="G40" s="6"/>
      <c r="H40" s="6"/>
    </row>
    <row r="41" ht="12.75" customHeight="1">
      <c r="A41" s="6"/>
      <c r="B41" s="6"/>
      <c r="C41" s="6"/>
      <c r="D41" s="6"/>
      <c r="E41" s="6"/>
      <c r="F41" s="6"/>
      <c r="G41" s="6"/>
      <c r="H41" s="6"/>
    </row>
    <row r="42" ht="12.75" customHeight="1">
      <c r="A42" s="6"/>
      <c r="B42" s="6"/>
      <c r="C42" s="6"/>
      <c r="D42" s="6"/>
      <c r="E42" s="6"/>
      <c r="F42" s="6"/>
      <c r="G42" s="6"/>
      <c r="H42" s="6"/>
    </row>
    <row r="43" ht="12.75" customHeight="1">
      <c r="A43" s="6"/>
      <c r="B43" s="6"/>
      <c r="C43" s="6"/>
      <c r="D43" s="6"/>
      <c r="E43" s="6"/>
      <c r="F43" s="6"/>
      <c r="G43" s="6"/>
      <c r="H43" s="6"/>
    </row>
    <row r="44" ht="12.75" customHeight="1">
      <c r="A44" s="6"/>
      <c r="B44" s="6"/>
      <c r="C44" s="6"/>
      <c r="D44" s="6"/>
      <c r="E44" s="6"/>
      <c r="F44" s="6"/>
      <c r="G44" s="6"/>
      <c r="H44" s="6"/>
    </row>
    <row r="45" ht="12.75" customHeight="1">
      <c r="A45" s="6"/>
      <c r="B45" s="6"/>
      <c r="C45" s="6"/>
      <c r="D45" s="6"/>
      <c r="E45" s="6"/>
      <c r="F45" s="6"/>
      <c r="G45" s="6"/>
      <c r="H45" s="6"/>
    </row>
    <row r="46" ht="12.75" customHeight="1">
      <c r="A46" s="6"/>
      <c r="B46" s="6"/>
      <c r="C46" s="6"/>
      <c r="D46" s="6"/>
      <c r="E46" s="6"/>
      <c r="F46" s="6"/>
      <c r="G46" s="6"/>
      <c r="H46" s="6"/>
    </row>
    <row r="47" ht="12.75" customHeight="1">
      <c r="A47" s="6"/>
      <c r="B47" s="6"/>
      <c r="C47" s="6"/>
      <c r="D47" s="6"/>
      <c r="E47" s="6"/>
      <c r="F47" s="6"/>
      <c r="G47" s="6"/>
      <c r="H47" s="6"/>
    </row>
    <row r="48" ht="12.75" customHeight="1">
      <c r="A48" s="6"/>
      <c r="B48" s="6"/>
      <c r="C48" s="6"/>
      <c r="D48" s="6"/>
      <c r="E48" s="6"/>
      <c r="F48" s="6"/>
      <c r="G48" s="6"/>
      <c r="H48" s="6"/>
    </row>
    <row r="49" ht="12.75" customHeight="1">
      <c r="A49" s="6"/>
      <c r="B49" s="6"/>
      <c r="C49" s="6"/>
      <c r="D49" s="6"/>
      <c r="E49" s="6"/>
      <c r="F49" s="6"/>
      <c r="G49" s="6"/>
      <c r="H49" s="6"/>
    </row>
    <row r="50" ht="12.75" customHeight="1">
      <c r="A50" s="6"/>
      <c r="B50" s="6"/>
      <c r="C50" s="6"/>
      <c r="D50" s="6"/>
      <c r="E50" s="6"/>
      <c r="F50" s="6"/>
      <c r="G50" s="6"/>
      <c r="H50" s="6"/>
    </row>
    <row r="51" ht="12.75" customHeight="1">
      <c r="A51" s="6"/>
      <c r="B51" s="6"/>
      <c r="C51" s="6"/>
      <c r="D51" s="6"/>
      <c r="E51" s="6"/>
      <c r="F51" s="6"/>
      <c r="G51" s="6"/>
      <c r="H51" s="6"/>
    </row>
    <row r="52" ht="12.75" customHeight="1">
      <c r="A52" s="6"/>
      <c r="B52" s="6"/>
      <c r="C52" s="6"/>
      <c r="D52" s="6"/>
      <c r="E52" s="6"/>
      <c r="F52" s="6"/>
      <c r="G52" s="6"/>
      <c r="H52" s="6"/>
    </row>
    <row r="53" ht="12.75" customHeight="1">
      <c r="A53" s="6"/>
      <c r="B53" s="6"/>
      <c r="C53" s="6"/>
      <c r="D53" s="6"/>
      <c r="E53" s="6"/>
      <c r="F53" s="6"/>
      <c r="G53" s="6"/>
      <c r="H53" s="6"/>
    </row>
    <row r="54" ht="12.75" customHeight="1">
      <c r="A54" s="6"/>
      <c r="B54" s="6"/>
      <c r="C54" s="6"/>
      <c r="D54" s="6"/>
      <c r="E54" s="6"/>
      <c r="F54" s="6"/>
      <c r="G54" s="6"/>
      <c r="H54" s="6"/>
    </row>
    <row r="55" ht="12.75" customHeight="1">
      <c r="A55" s="6"/>
      <c r="B55" s="6"/>
      <c r="C55" s="6"/>
      <c r="D55" s="6"/>
      <c r="E55" s="6"/>
      <c r="F55" s="6"/>
      <c r="G55" s="6"/>
      <c r="H55" s="6"/>
    </row>
    <row r="56" ht="12.75" customHeight="1">
      <c r="A56" s="6"/>
      <c r="B56" s="6"/>
      <c r="C56" s="6"/>
      <c r="D56" s="6"/>
      <c r="E56" s="6"/>
      <c r="F56" s="6"/>
      <c r="G56" s="6"/>
      <c r="H56" s="6"/>
    </row>
    <row r="57" ht="12.75" customHeight="1">
      <c r="A57" s="6"/>
      <c r="B57" s="6"/>
      <c r="C57" s="6"/>
      <c r="D57" s="6"/>
      <c r="E57" s="6"/>
      <c r="F57" s="6"/>
      <c r="G57" s="6"/>
      <c r="H57" s="6"/>
    </row>
    <row r="58" ht="12.75" customHeight="1">
      <c r="A58" s="6"/>
      <c r="B58" s="6"/>
      <c r="C58" s="6"/>
      <c r="D58" s="6"/>
      <c r="E58" s="6"/>
      <c r="F58" s="6"/>
      <c r="G58" s="6"/>
      <c r="H58" s="6"/>
    </row>
    <row r="59" ht="12.75" customHeight="1">
      <c r="A59" s="6"/>
      <c r="B59" s="6"/>
      <c r="C59" s="6"/>
      <c r="D59" s="6"/>
      <c r="E59" s="6"/>
      <c r="F59" s="6"/>
      <c r="G59" s="6"/>
      <c r="H59" s="6"/>
    </row>
    <row r="60" ht="12.75" customHeight="1">
      <c r="A60" s="6"/>
      <c r="B60" s="6"/>
      <c r="C60" s="6"/>
      <c r="D60" s="6"/>
      <c r="E60" s="6"/>
      <c r="F60" s="6"/>
      <c r="G60" s="6"/>
      <c r="H60" s="6"/>
    </row>
    <row r="61" ht="12.75" customHeight="1">
      <c r="A61" s="6"/>
      <c r="B61" s="6"/>
      <c r="C61" s="6"/>
      <c r="D61" s="6"/>
      <c r="E61" s="6"/>
      <c r="F61" s="6"/>
      <c r="G61" s="6"/>
      <c r="H61" s="6"/>
    </row>
    <row r="62" ht="12.75" customHeight="1">
      <c r="A62" s="6"/>
      <c r="B62" s="6"/>
      <c r="C62" s="6"/>
      <c r="D62" s="6"/>
      <c r="E62" s="6"/>
      <c r="F62" s="6"/>
      <c r="G62" s="6"/>
      <c r="H62" s="6"/>
    </row>
    <row r="63" ht="12.75" customHeight="1">
      <c r="A63" s="6"/>
      <c r="B63" s="6"/>
      <c r="C63" s="6"/>
      <c r="D63" s="6"/>
      <c r="E63" s="6"/>
      <c r="F63" s="6"/>
      <c r="G63" s="6"/>
      <c r="H63" s="6"/>
    </row>
    <row r="64" ht="12.75" customHeight="1">
      <c r="A64" s="6"/>
      <c r="B64" s="6"/>
      <c r="C64" s="6"/>
      <c r="D64" s="6"/>
      <c r="E64" s="6"/>
      <c r="F64" s="6"/>
      <c r="G64" s="6"/>
      <c r="H64" s="6"/>
    </row>
    <row r="65" ht="12.75" customHeight="1">
      <c r="A65" s="6"/>
      <c r="B65" s="6"/>
      <c r="C65" s="6"/>
      <c r="D65" s="6"/>
      <c r="E65" s="6"/>
      <c r="F65" s="6"/>
      <c r="G65" s="6"/>
      <c r="H65" s="6"/>
    </row>
    <row r="66" ht="12.75" customHeight="1">
      <c r="A66" s="6"/>
      <c r="B66" s="6"/>
      <c r="C66" s="6"/>
      <c r="D66" s="6"/>
      <c r="E66" s="6"/>
      <c r="F66" s="6"/>
      <c r="G66" s="6"/>
      <c r="H66" s="6"/>
    </row>
    <row r="67" ht="12.75" customHeight="1">
      <c r="A67" s="6"/>
      <c r="B67" s="6"/>
      <c r="C67" s="6"/>
      <c r="D67" s="6"/>
      <c r="E67" s="6"/>
      <c r="F67" s="6"/>
      <c r="G67" s="6"/>
      <c r="H67" s="6"/>
    </row>
    <row r="68" ht="12.75" customHeight="1">
      <c r="A68" s="6"/>
      <c r="B68" s="6"/>
      <c r="C68" s="6"/>
      <c r="D68" s="6"/>
      <c r="E68" s="6"/>
      <c r="F68" s="6"/>
      <c r="G68" s="6"/>
      <c r="H68" s="6"/>
    </row>
    <row r="69" ht="12.75" customHeight="1">
      <c r="A69" s="6"/>
      <c r="B69" s="6"/>
      <c r="C69" s="6"/>
      <c r="D69" s="6"/>
      <c r="E69" s="6"/>
      <c r="F69" s="6"/>
      <c r="G69" s="6"/>
      <c r="H69" s="6"/>
    </row>
    <row r="70" ht="12.75" customHeight="1">
      <c r="A70" s="6"/>
      <c r="B70" s="6"/>
      <c r="C70" s="6"/>
      <c r="D70" s="6"/>
      <c r="E70" s="6"/>
      <c r="F70" s="6"/>
      <c r="G70" s="6"/>
      <c r="H70" s="6"/>
    </row>
    <row r="71" ht="12.75" customHeight="1">
      <c r="A71" s="6"/>
      <c r="B71" s="6"/>
      <c r="C71" s="6"/>
      <c r="D71" s="6"/>
      <c r="E71" s="6"/>
      <c r="F71" s="6"/>
      <c r="G71" s="6"/>
      <c r="H71" s="6"/>
    </row>
    <row r="72" ht="12.75" customHeight="1">
      <c r="A72" s="6"/>
      <c r="B72" s="6"/>
      <c r="C72" s="6"/>
      <c r="D72" s="6"/>
      <c r="E72" s="6"/>
      <c r="F72" s="6"/>
      <c r="G72" s="6"/>
      <c r="H72" s="6"/>
    </row>
    <row r="73" ht="12.75" customHeight="1">
      <c r="A73" s="6"/>
      <c r="B73" s="6"/>
      <c r="C73" s="6"/>
      <c r="D73" s="6"/>
      <c r="E73" s="6"/>
      <c r="F73" s="6"/>
      <c r="G73" s="6"/>
      <c r="H73" s="6"/>
    </row>
    <row r="74" ht="12.75" customHeight="1">
      <c r="A74" s="6"/>
      <c r="B74" s="6"/>
      <c r="C74" s="6"/>
      <c r="D74" s="6"/>
      <c r="E74" s="6"/>
      <c r="F74" s="6"/>
      <c r="G74" s="6"/>
      <c r="H74" s="6"/>
    </row>
    <row r="75" ht="12.75" customHeight="1">
      <c r="A75" s="6"/>
      <c r="B75" s="6"/>
      <c r="C75" s="6"/>
      <c r="D75" s="6"/>
      <c r="E75" s="6"/>
      <c r="F75" s="6"/>
      <c r="G75" s="6"/>
      <c r="H75" s="6"/>
    </row>
    <row r="76" ht="12.75" customHeight="1">
      <c r="A76" s="6"/>
      <c r="B76" s="6"/>
      <c r="C76" s="6"/>
      <c r="D76" s="6"/>
      <c r="E76" s="6"/>
      <c r="F76" s="6"/>
      <c r="G76" s="6"/>
      <c r="H76" s="6"/>
    </row>
    <row r="77" ht="12.75" customHeight="1">
      <c r="A77" s="6"/>
      <c r="B77" s="6"/>
      <c r="C77" s="6"/>
      <c r="D77" s="6"/>
      <c r="E77" s="6"/>
      <c r="F77" s="6"/>
      <c r="G77" s="6"/>
      <c r="H77" s="6"/>
    </row>
    <row r="78" ht="12.75" customHeight="1">
      <c r="A78" s="6"/>
      <c r="B78" s="6"/>
      <c r="C78" s="6"/>
      <c r="D78" s="6"/>
      <c r="E78" s="6"/>
      <c r="F78" s="6"/>
      <c r="G78" s="6"/>
      <c r="H78" s="6"/>
    </row>
    <row r="79" ht="12.75" customHeight="1">
      <c r="A79" s="6"/>
      <c r="B79" s="6"/>
      <c r="C79" s="6"/>
      <c r="D79" s="6"/>
      <c r="E79" s="6"/>
      <c r="F79" s="6"/>
      <c r="G79" s="6"/>
      <c r="H79" s="6"/>
    </row>
    <row r="80" ht="12.75" customHeight="1">
      <c r="A80" s="6"/>
      <c r="B80" s="6"/>
      <c r="C80" s="6"/>
      <c r="D80" s="6"/>
      <c r="E80" s="6"/>
      <c r="F80" s="6"/>
      <c r="G80" s="6"/>
      <c r="H80" s="6"/>
    </row>
    <row r="81" ht="12.75" customHeight="1">
      <c r="A81" s="6"/>
      <c r="B81" s="6"/>
      <c r="C81" s="6"/>
      <c r="D81" s="6"/>
      <c r="E81" s="6"/>
      <c r="F81" s="6"/>
      <c r="G81" s="6"/>
      <c r="H81" s="6"/>
    </row>
    <row r="82" ht="12.75" customHeight="1">
      <c r="A82" s="6"/>
      <c r="B82" s="6"/>
      <c r="C82" s="6"/>
      <c r="D82" s="6"/>
      <c r="E82" s="6"/>
      <c r="F82" s="6"/>
      <c r="G82" s="6"/>
      <c r="H82" s="6"/>
    </row>
    <row r="83" ht="12.75" customHeight="1">
      <c r="A83" s="6"/>
      <c r="B83" s="6"/>
      <c r="C83" s="6"/>
      <c r="D83" s="6"/>
      <c r="E83" s="6"/>
      <c r="F83" s="6"/>
      <c r="G83" s="6"/>
      <c r="H83" s="6"/>
    </row>
    <row r="84" ht="12.75" customHeight="1">
      <c r="A84" s="6"/>
      <c r="B84" s="6"/>
      <c r="C84" s="6"/>
      <c r="D84" s="6"/>
      <c r="E84" s="6"/>
      <c r="F84" s="6"/>
      <c r="G84" s="6"/>
      <c r="H84" s="6"/>
    </row>
    <row r="85" ht="12.75" customHeight="1">
      <c r="A85" s="6"/>
      <c r="B85" s="6"/>
      <c r="C85" s="6"/>
      <c r="D85" s="6"/>
      <c r="E85" s="6"/>
      <c r="F85" s="6"/>
      <c r="G85" s="6"/>
      <c r="H85" s="6"/>
    </row>
    <row r="86" ht="12.75" customHeight="1">
      <c r="A86" s="6"/>
      <c r="B86" s="6"/>
      <c r="C86" s="6"/>
      <c r="D86" s="6"/>
      <c r="E86" s="6"/>
      <c r="F86" s="6"/>
      <c r="G86" s="6"/>
      <c r="H86" s="6"/>
    </row>
    <row r="87" ht="12.75" customHeight="1">
      <c r="A87" s="6"/>
      <c r="B87" s="6"/>
      <c r="C87" s="6"/>
      <c r="D87" s="6"/>
      <c r="E87" s="6"/>
      <c r="F87" s="6"/>
      <c r="G87" s="6"/>
      <c r="H87" s="6"/>
    </row>
    <row r="88" ht="12.75" customHeight="1">
      <c r="A88" s="6"/>
      <c r="B88" s="6"/>
      <c r="C88" s="6"/>
      <c r="D88" s="6"/>
      <c r="E88" s="6"/>
      <c r="F88" s="6"/>
      <c r="G88" s="6"/>
      <c r="H88" s="6"/>
    </row>
    <row r="89" ht="12.75" customHeight="1">
      <c r="A89" s="6"/>
      <c r="B89" s="6"/>
      <c r="C89" s="6"/>
      <c r="D89" s="6"/>
      <c r="E89" s="6"/>
      <c r="F89" s="6"/>
      <c r="G89" s="6"/>
      <c r="H89" s="6"/>
    </row>
    <row r="90" ht="12.75" customHeight="1">
      <c r="A90" s="6"/>
      <c r="B90" s="6"/>
      <c r="C90" s="6"/>
      <c r="D90" s="6"/>
      <c r="E90" s="6"/>
      <c r="F90" s="6"/>
      <c r="G90" s="6"/>
      <c r="H90" s="6"/>
    </row>
    <row r="91" ht="12.75" customHeight="1">
      <c r="A91" s="6"/>
      <c r="B91" s="6"/>
      <c r="C91" s="6"/>
      <c r="D91" s="6"/>
      <c r="E91" s="6"/>
      <c r="F91" s="6"/>
      <c r="G91" s="6"/>
      <c r="H91" s="6"/>
    </row>
    <row r="92" ht="12.75" customHeight="1">
      <c r="A92" s="6"/>
      <c r="B92" s="6"/>
      <c r="C92" s="6"/>
      <c r="D92" s="6"/>
      <c r="E92" s="6"/>
      <c r="F92" s="6"/>
      <c r="G92" s="6"/>
      <c r="H92" s="6"/>
    </row>
    <row r="93" ht="12.75" customHeight="1">
      <c r="A93" s="6"/>
      <c r="B93" s="6"/>
      <c r="C93" s="6"/>
      <c r="D93" s="6"/>
      <c r="E93" s="6"/>
      <c r="F93" s="6"/>
      <c r="G93" s="6"/>
      <c r="H93" s="6"/>
    </row>
    <row r="94" ht="12.75" customHeight="1">
      <c r="A94" s="6"/>
      <c r="B94" s="6"/>
      <c r="C94" s="6"/>
      <c r="D94" s="6"/>
      <c r="E94" s="6"/>
      <c r="F94" s="6"/>
      <c r="G94" s="6"/>
      <c r="H94" s="6"/>
    </row>
    <row r="95" ht="12.75" customHeight="1">
      <c r="A95" s="6"/>
      <c r="B95" s="6"/>
      <c r="C95" s="6"/>
      <c r="D95" s="6"/>
      <c r="E95" s="6"/>
      <c r="F95" s="6"/>
      <c r="G95" s="6"/>
      <c r="H95" s="6"/>
    </row>
    <row r="96" ht="12.75" customHeight="1">
      <c r="A96" s="6"/>
      <c r="B96" s="6"/>
      <c r="C96" s="6"/>
      <c r="D96" s="6"/>
      <c r="E96" s="6"/>
      <c r="F96" s="6"/>
      <c r="G96" s="6"/>
      <c r="H96" s="6"/>
    </row>
    <row r="97" ht="12.75" customHeight="1">
      <c r="A97" s="6"/>
      <c r="B97" s="6"/>
      <c r="C97" s="6"/>
      <c r="D97" s="6"/>
      <c r="E97" s="6"/>
      <c r="F97" s="6"/>
      <c r="G97" s="6"/>
      <c r="H97" s="6"/>
    </row>
    <row r="98" ht="12.75" customHeight="1">
      <c r="A98" s="6"/>
      <c r="B98" s="6"/>
      <c r="C98" s="6"/>
      <c r="D98" s="6"/>
      <c r="E98" s="6"/>
      <c r="F98" s="6"/>
      <c r="G98" s="6"/>
      <c r="H98" s="6"/>
    </row>
    <row r="99" ht="12.75" customHeight="1">
      <c r="A99" s="6"/>
      <c r="B99" s="6"/>
      <c r="C99" s="6"/>
      <c r="D99" s="6"/>
      <c r="E99" s="6"/>
      <c r="F99" s="6"/>
      <c r="G99" s="6"/>
      <c r="H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</row>
  </sheetData>
  <mergeCells count="5">
    <mergeCell ref="B1:E1"/>
    <mergeCell ref="B2:E2"/>
    <mergeCell ref="B3:F3"/>
    <mergeCell ref="E4:F4"/>
    <mergeCell ref="E5:F5"/>
  </mergeCells>
  <dataValidations>
    <dataValidation type="list" allowBlank="1" showInputMessage="1" showErrorMessage="1" prompt="Click and enter a value from range" sqref="F6:F22">
      <formula1>Gateway!$A$4:$D$4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